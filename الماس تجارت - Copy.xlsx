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 1\Desktop\"/>
    </mc:Choice>
  </mc:AlternateContent>
  <xr:revisionPtr revIDLastSave="0" documentId="13_ncr:1_{5E517989-2E6D-485E-B46E-E9C5292FAEA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دانشگاه علوم پزشکی بهبهان" sheetId="87" r:id="rId1"/>
    <sheet name="خام" sheetId="88" r:id="rId2"/>
    <sheet name="خام (2)" sheetId="89" r:id="rId3"/>
    <sheet name="Sheet3" sheetId="60" r:id="rId4"/>
  </sheets>
  <definedNames>
    <definedName name="_xlnm.Print_Area" localSheetId="1">خام!$A$1:$AF$21</definedName>
    <definedName name="_xlnm.Print_Area" localSheetId="2">'خام (2)'!$A$1:$AE$20</definedName>
    <definedName name="_xlnm.Print_Area" localSheetId="0">'دانشگاه علوم پزشکی بهبهان'!$A$1:$AE$25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8" i="88" l="1"/>
  <c r="S18" i="88"/>
  <c r="K17" i="88"/>
  <c r="Y17" i="88" s="1"/>
  <c r="X17" i="89"/>
  <c r="J16" i="89"/>
  <c r="J17" i="89" l="1"/>
  <c r="X16" i="89"/>
  <c r="K18" i="88" l="1"/>
  <c r="J22" i="87"/>
  <c r="H18" i="87"/>
  <c r="H17" i="87"/>
  <c r="H19" i="87"/>
  <c r="H20" i="87"/>
  <c r="H21" i="87"/>
  <c r="H16" i="87"/>
  <c r="J18" i="87"/>
  <c r="J19" i="87"/>
  <c r="J20" i="87"/>
  <c r="J21" i="87"/>
  <c r="J17" i="87"/>
  <c r="J16" i="87"/>
  <c r="P124" i="60"/>
  <c r="P125" i="60"/>
  <c r="S127" i="60" l="1"/>
  <c r="S126" i="60"/>
  <c r="P126" i="60"/>
  <c r="T119" i="60"/>
  <c r="V115" i="60"/>
  <c r="P117" i="60"/>
  <c r="M115" i="60"/>
  <c r="R114" i="60"/>
  <c r="R113" i="60"/>
  <c r="R112" i="60"/>
  <c r="R111" i="60"/>
  <c r="R110" i="60"/>
  <c r="R109" i="60"/>
  <c r="R108" i="60"/>
  <c r="V110" i="60" l="1"/>
  <c r="V111" i="60"/>
  <c r="V112" i="60"/>
  <c r="V113" i="60"/>
  <c r="V114" i="60"/>
  <c r="V109" i="60"/>
  <c r="M109" i="60"/>
  <c r="M110" i="60"/>
  <c r="M111" i="60"/>
  <c r="M112" i="60"/>
  <c r="M113" i="60"/>
  <c r="M108" i="60"/>
</calcChain>
</file>

<file path=xl/sharedStrings.xml><?xml version="1.0" encoding="utf-8"?>
<sst xmlns="http://schemas.openxmlformats.org/spreadsheetml/2006/main" count="149" uniqueCount="79">
  <si>
    <t>مشخصات فروشنده</t>
  </si>
  <si>
    <t>مشخصات خريدار</t>
  </si>
  <si>
    <t>مشخصات كالا يا خدمات مورد معامله</t>
  </si>
  <si>
    <t>رديف</t>
  </si>
  <si>
    <t>شرح كالا يا خدمات</t>
  </si>
  <si>
    <t>مبلغ واحد (ريال )</t>
  </si>
  <si>
    <t>مبلغ كل (ريال)</t>
  </si>
  <si>
    <t>مبلغ كل پس از تخفيف (ريال)</t>
  </si>
  <si>
    <t>جمع مبلغ كل بعلاوه جمع ماليات و عوارض (ريال)</t>
  </si>
  <si>
    <t>مهر و امضاء خريدار</t>
  </si>
  <si>
    <t xml:space="preserve">شرايط و نحوه فروش                 نقدي                           غير نقدي                      </t>
  </si>
  <si>
    <r>
      <t xml:space="preserve">مهر و امضاء فروشنده                                                                                  </t>
    </r>
    <r>
      <rPr>
        <b/>
        <sz val="12"/>
        <rFont val="B Zar"/>
        <charset val="178"/>
      </rPr>
      <t xml:space="preserve"> </t>
    </r>
  </si>
  <si>
    <t>تعداد</t>
  </si>
  <si>
    <t>تاریخ :</t>
  </si>
  <si>
    <t>شماره  :</t>
  </si>
  <si>
    <t xml:space="preserve">            جمع ماليات و عوارض                 (ریال)</t>
  </si>
  <si>
    <t xml:space="preserve"> شماره ثبت: -</t>
  </si>
  <si>
    <t>توضيحات : تسویه پس از تحویل کالا.</t>
  </si>
  <si>
    <t xml:space="preserve">تلفن :  </t>
  </si>
  <si>
    <t xml:space="preserve">شماره اقتصادی : </t>
  </si>
  <si>
    <t xml:space="preserve">شماره ملی : </t>
  </si>
  <si>
    <t xml:space="preserve"> کدپستی:   </t>
  </si>
  <si>
    <t>جمع:</t>
  </si>
  <si>
    <t>پیش فاکتور</t>
  </si>
  <si>
    <t>جرمگیر</t>
  </si>
  <si>
    <t>عدد</t>
  </si>
  <si>
    <t>واحد</t>
  </si>
  <si>
    <t>مثبت</t>
  </si>
  <si>
    <t>شیشه پاکن</t>
  </si>
  <si>
    <t>مایع دست</t>
  </si>
  <si>
    <t>مایع ظرف</t>
  </si>
  <si>
    <t xml:space="preserve">سفید کننده 4 </t>
  </si>
  <si>
    <t>پودر</t>
  </si>
  <si>
    <t>گلرنگ</t>
  </si>
  <si>
    <t>صحت</t>
  </si>
  <si>
    <t>جدید</t>
  </si>
  <si>
    <t>گلزنگ</t>
  </si>
  <si>
    <t>قهوه</t>
  </si>
  <si>
    <t>بایکت</t>
  </si>
  <si>
    <t>تیتاب</t>
  </si>
  <si>
    <t>1404/02/29</t>
  </si>
  <si>
    <t xml:space="preserve">  نام خریدار : دانشکده علوم پزشکی و خدمات بهداشتی  درمانی بهبهان</t>
  </si>
  <si>
    <t xml:space="preserve">  نشاني :خوزستان _ بهبهان</t>
  </si>
  <si>
    <t>صابون مایع 10 لیتری گلرنگ</t>
  </si>
  <si>
    <t>بشکه</t>
  </si>
  <si>
    <t>پورماشینی گلرنگ</t>
  </si>
  <si>
    <t>مایع ظرفشوئی 1 لیتری اوه</t>
  </si>
  <si>
    <t>سفیدکننده 4 لیتری اکتیو</t>
  </si>
  <si>
    <t>سفیدکننده 1 لیتری اکتیو</t>
  </si>
  <si>
    <t>جوهرنمک 1 لیتری اکتیو</t>
  </si>
  <si>
    <t xml:space="preserve">  نام فروشنده: الماس تجارت گیتی شمال</t>
  </si>
  <si>
    <t xml:space="preserve">  نشاني : رشت، مسکن مهر - مهر 80- بلوک سروش</t>
  </si>
  <si>
    <t>شماره ملی :  14013842616</t>
  </si>
  <si>
    <t xml:space="preserve"> شماره ثبت :  25709</t>
  </si>
  <si>
    <t xml:space="preserve">کدپستی:  4196945411                       </t>
  </si>
  <si>
    <t xml:space="preserve"> تلفن :  01332437529</t>
  </si>
  <si>
    <t>شماره اقتصادی :  14013842616</t>
  </si>
  <si>
    <t xml:space="preserve">  نام خریدار : اداره کل زندان های گیلان - زندان رشت</t>
  </si>
  <si>
    <t>شماره ملی : 14003500210</t>
  </si>
  <si>
    <t>شماره اقتصادی : 14003500210</t>
  </si>
  <si>
    <t xml:space="preserve"> کدپستی:   4133973149</t>
  </si>
  <si>
    <t>لوبیا سفید دست چین فله</t>
  </si>
  <si>
    <t>کیلوگرم</t>
  </si>
  <si>
    <t xml:space="preserve">  نشاني :گیلان - رشت</t>
  </si>
  <si>
    <t>تلفن :  01333480100</t>
  </si>
  <si>
    <t>1404/07/20</t>
  </si>
  <si>
    <t>کد کالا</t>
  </si>
  <si>
    <t>1404/10/08</t>
  </si>
  <si>
    <t>شماره حساب : 01157570810005</t>
  </si>
  <si>
    <t>LAN TPLINK 725</t>
  </si>
  <si>
    <t>بیست و شش میلیون و چهارصد هزارریال</t>
  </si>
  <si>
    <t>1190001002</t>
  </si>
  <si>
    <t xml:space="preserve">  نام خریدار : شرکت جهان آرای گیتی</t>
  </si>
  <si>
    <t xml:space="preserve">  نشاني : رشت - مسکن مهر -میدان اول-شهرک زعفرانیه -زعفرانیه 8</t>
  </si>
  <si>
    <t>شماره ملی : 14010438288</t>
  </si>
  <si>
    <t>شماره اقتصادی :14010438288</t>
  </si>
  <si>
    <t>تلفن :  01332437529</t>
  </si>
  <si>
    <t xml:space="preserve"> کدپستی:   4193196171</t>
  </si>
  <si>
    <t xml:space="preserve"> شماره حساب: 0177012011773                                                                                       
 شماره کارت :  5859837021879305                                                                                
 شماره شبا : IR980180000000177012011773
 بنام الماس تجارت گیتی نزد بانک تجارت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</si>
</sst>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-"/>
  </numFmts>
  <fonts count="29" x14ac:knownFonts="1">
    <font>
      <sz val="10"/>
      <name val="Arial"/>
      <charset val="178"/>
    </font>
    <font>
      <sz val="10"/>
      <name val="Nazanin"/>
      <charset val="178"/>
    </font>
    <font>
      <b/>
      <u/>
      <sz val="16"/>
      <name val="Nazanin"/>
      <charset val="178"/>
    </font>
    <font>
      <sz val="10"/>
      <name val="Arial"/>
      <family val="2"/>
    </font>
    <font>
      <sz val="10"/>
      <name val="B Zar"/>
      <charset val="178"/>
    </font>
    <font>
      <sz val="12"/>
      <name val="B Zar"/>
      <charset val="178"/>
    </font>
    <font>
      <b/>
      <sz val="16"/>
      <name val="B Titr"/>
      <charset val="178"/>
    </font>
    <font>
      <b/>
      <sz val="12"/>
      <name val="B Zar"/>
      <charset val="178"/>
    </font>
    <font>
      <sz val="10"/>
      <name val="B Titr"/>
      <charset val="178"/>
    </font>
    <font>
      <b/>
      <sz val="10"/>
      <name val="B Zar"/>
      <charset val="178"/>
    </font>
    <font>
      <sz val="11"/>
      <color theme="1"/>
      <name val="Calibri"/>
      <family val="2"/>
      <scheme val="minor"/>
    </font>
    <font>
      <sz val="9"/>
      <name val="B Titr"/>
      <charset val="178"/>
    </font>
    <font>
      <b/>
      <sz val="12"/>
      <name val="B Titr"/>
      <charset val="178"/>
    </font>
    <font>
      <sz val="9"/>
      <name val="B Zar"/>
      <charset val="178"/>
    </font>
    <font>
      <sz val="8"/>
      <name val="B Titr"/>
      <charset val="178"/>
    </font>
    <font>
      <b/>
      <sz val="9"/>
      <name val="B Titr"/>
      <charset val="178"/>
    </font>
    <font>
      <sz val="9"/>
      <color theme="1"/>
      <name val="B Nazanin"/>
      <charset val="178"/>
    </font>
    <font>
      <sz val="9"/>
      <name val="B Nazanin"/>
      <charset val="178"/>
    </font>
    <font>
      <b/>
      <sz val="10"/>
      <name val="B Nazanin"/>
      <charset val="178"/>
    </font>
    <font>
      <b/>
      <sz val="9"/>
      <color theme="1"/>
      <name val="B Nazanin"/>
      <charset val="178"/>
    </font>
    <font>
      <b/>
      <i/>
      <sz val="11"/>
      <color theme="1"/>
      <name val="B Nazanin"/>
      <charset val="178"/>
    </font>
    <font>
      <sz val="12"/>
      <color theme="1"/>
      <name val="B Nazanin"/>
      <charset val="178"/>
    </font>
    <font>
      <b/>
      <sz val="10"/>
      <color theme="1"/>
      <name val="B Nazanin"/>
      <charset val="178"/>
    </font>
    <font>
      <b/>
      <sz val="14"/>
      <name val="B Nazanin"/>
      <charset val="178"/>
    </font>
    <font>
      <b/>
      <sz val="11"/>
      <color theme="1"/>
      <name val="B Nazanin"/>
      <charset val="178"/>
    </font>
    <font>
      <b/>
      <sz val="16"/>
      <name val="B Nazanin"/>
      <charset val="178"/>
    </font>
    <font>
      <b/>
      <sz val="11"/>
      <name val="Arial"/>
      <family val="2"/>
    </font>
    <font>
      <sz val="11"/>
      <color theme="1"/>
      <name val="B Nazanin"/>
      <charset val="178"/>
    </font>
    <font>
      <sz val="14"/>
      <color theme="1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5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readingOrder="1"/>
    </xf>
    <xf numFmtId="164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3" fontId="3" fillId="0" borderId="0" xfId="0" applyNumberFormat="1" applyFont="1" applyAlignment="1">
      <alignment vertical="center"/>
    </xf>
    <xf numFmtId="0" fontId="24" fillId="0" borderId="7" xfId="1" applyFont="1" applyBorder="1" applyAlignment="1">
      <alignment horizontal="center"/>
    </xf>
    <xf numFmtId="3" fontId="21" fillId="2" borderId="9" xfId="1" applyNumberFormat="1" applyFont="1" applyFill="1" applyBorder="1" applyAlignment="1">
      <alignment horizontal="center" vertical="center" shrinkToFit="1"/>
    </xf>
    <xf numFmtId="0" fontId="0" fillId="3" borderId="0" xfId="0" applyFill="1"/>
    <xf numFmtId="0" fontId="0" fillId="4" borderId="0" xfId="0" applyFill="1"/>
    <xf numFmtId="3" fontId="22" fillId="0" borderId="6" xfId="0" applyNumberFormat="1" applyFont="1" applyBorder="1" applyAlignment="1">
      <alignment vertical="center"/>
    </xf>
    <xf numFmtId="3" fontId="22" fillId="0" borderId="7" xfId="0" applyNumberFormat="1" applyFont="1" applyBorder="1" applyAlignment="1">
      <alignment vertical="center"/>
    </xf>
    <xf numFmtId="3" fontId="22" fillId="0" borderId="8" xfId="0" applyNumberFormat="1" applyFont="1" applyBorder="1" applyAlignment="1">
      <alignment vertical="center"/>
    </xf>
    <xf numFmtId="3" fontId="0" fillId="0" borderId="0" xfId="0" applyNumberFormat="1"/>
    <xf numFmtId="0" fontId="3" fillId="0" borderId="0" xfId="0" applyFont="1"/>
    <xf numFmtId="0" fontId="26" fillId="0" borderId="0" xfId="0" applyFont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14" fontId="1" fillId="0" borderId="0" xfId="0" applyNumberFormat="1" applyFont="1" applyAlignment="1">
      <alignment vertical="center"/>
    </xf>
    <xf numFmtId="0" fontId="1" fillId="0" borderId="16" xfId="0" applyFont="1" applyBorder="1" applyAlignment="1">
      <alignment vertical="center"/>
    </xf>
    <xf numFmtId="0" fontId="14" fillId="0" borderId="17" xfId="0" applyFont="1" applyBorder="1" applyAlignment="1">
      <alignment horizontal="center" vertical="center" textRotation="90"/>
    </xf>
    <xf numFmtId="3" fontId="13" fillId="0" borderId="19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vertical="center" wrapText="1"/>
    </xf>
    <xf numFmtId="0" fontId="14" fillId="0" borderId="7" xfId="0" applyFont="1" applyBorder="1" applyAlignment="1">
      <alignment horizontal="center" vertical="center" textRotation="90"/>
    </xf>
    <xf numFmtId="3" fontId="13" fillId="0" borderId="7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vertical="center" wrapText="1"/>
    </xf>
    <xf numFmtId="0" fontId="14" fillId="0" borderId="5" xfId="0" applyFont="1" applyBorder="1" applyAlignment="1">
      <alignment horizontal="center" vertical="center" textRotation="90"/>
    </xf>
    <xf numFmtId="3" fontId="13" fillId="0" borderId="5" xfId="0" applyNumberFormat="1" applyFont="1" applyBorder="1" applyAlignment="1">
      <alignment horizontal="center" vertical="center"/>
    </xf>
    <xf numFmtId="49" fontId="13" fillId="0" borderId="7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3" fontId="23" fillId="0" borderId="6" xfId="0" applyNumberFormat="1" applyFont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center"/>
    </xf>
    <xf numFmtId="3" fontId="23" fillId="0" borderId="8" xfId="0" applyNumberFormat="1" applyFont="1" applyBorder="1" applyAlignment="1">
      <alignment horizontal="center" vertical="center"/>
    </xf>
    <xf numFmtId="3" fontId="25" fillId="0" borderId="6" xfId="0" applyNumberFormat="1" applyFont="1" applyBorder="1" applyAlignment="1">
      <alignment horizontal="center" vertical="center"/>
    </xf>
    <xf numFmtId="3" fontId="25" fillId="0" borderId="7" xfId="0" applyNumberFormat="1" applyFont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 vertical="center"/>
    </xf>
    <xf numFmtId="3" fontId="18" fillId="0" borderId="6" xfId="0" applyNumberFormat="1" applyFont="1" applyBorder="1" applyAlignment="1">
      <alignment horizontal="center" vertical="center"/>
    </xf>
    <xf numFmtId="3" fontId="18" fillId="0" borderId="7" xfId="0" applyNumberFormat="1" applyFont="1" applyBorder="1" applyAlignment="1">
      <alignment horizontal="center" vertical="center"/>
    </xf>
    <xf numFmtId="3" fontId="18" fillId="0" borderId="8" xfId="0" applyNumberFormat="1" applyFont="1" applyBorder="1" applyAlignment="1">
      <alignment horizontal="center" vertical="center"/>
    </xf>
    <xf numFmtId="3" fontId="17" fillId="0" borderId="6" xfId="0" applyNumberFormat="1" applyFont="1" applyBorder="1" applyAlignment="1">
      <alignment horizontal="center" vertical="center"/>
    </xf>
    <xf numFmtId="3" fontId="17" fillId="0" borderId="7" xfId="0" applyNumberFormat="1" applyFont="1" applyBorder="1" applyAlignment="1">
      <alignment horizontal="center" vertical="center"/>
    </xf>
    <xf numFmtId="3" fontId="17" fillId="0" borderId="20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 vertical="center"/>
    </xf>
    <xf numFmtId="0" fontId="7" fillId="0" borderId="21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7" fillId="0" borderId="22" xfId="0" applyFont="1" applyBorder="1" applyAlignment="1">
      <alignment horizontal="right" vertical="center"/>
    </xf>
    <xf numFmtId="3" fontId="16" fillId="0" borderId="6" xfId="0" applyNumberFormat="1" applyFont="1" applyBorder="1" applyAlignment="1">
      <alignment horizontal="center" vertical="center"/>
    </xf>
    <xf numFmtId="3" fontId="16" fillId="0" borderId="7" xfId="0" applyNumberFormat="1" applyFont="1" applyBorder="1" applyAlignment="1">
      <alignment horizontal="center" vertical="center"/>
    </xf>
    <xf numFmtId="3" fontId="16" fillId="0" borderId="20" xfId="0" applyNumberFormat="1" applyFont="1" applyBorder="1" applyAlignment="1">
      <alignment horizontal="center" vertical="center"/>
    </xf>
    <xf numFmtId="3" fontId="21" fillId="2" borderId="9" xfId="1" applyNumberFormat="1" applyFont="1" applyFill="1" applyBorder="1" applyAlignment="1">
      <alignment horizontal="center" vertical="center" shrinkToFit="1"/>
    </xf>
    <xf numFmtId="3" fontId="21" fillId="2" borderId="8" xfId="1" applyNumberFormat="1" applyFont="1" applyFill="1" applyBorder="1" applyAlignment="1">
      <alignment horizontal="center" vertical="center" shrinkToFit="1"/>
    </xf>
    <xf numFmtId="0" fontId="19" fillId="0" borderId="9" xfId="1" applyFont="1" applyBorder="1" applyAlignment="1">
      <alignment horizontal="center"/>
    </xf>
    <xf numFmtId="0" fontId="19" fillId="0" borderId="7" xfId="1" applyFont="1" applyBorder="1" applyAlignment="1">
      <alignment horizontal="center"/>
    </xf>
    <xf numFmtId="0" fontId="19" fillId="0" borderId="8" xfId="1" applyFont="1" applyBorder="1" applyAlignment="1">
      <alignment horizontal="center"/>
    </xf>
    <xf numFmtId="0" fontId="24" fillId="0" borderId="6" xfId="1" applyFont="1" applyBorder="1" applyAlignment="1">
      <alignment horizontal="center"/>
    </xf>
    <xf numFmtId="0" fontId="24" fillId="0" borderId="10" xfId="1" applyFont="1" applyBorder="1" applyAlignment="1">
      <alignment horizontal="center"/>
    </xf>
    <xf numFmtId="3" fontId="22" fillId="0" borderId="6" xfId="0" applyNumberFormat="1" applyFont="1" applyBorder="1" applyAlignment="1">
      <alignment horizontal="center" vertical="center"/>
    </xf>
    <xf numFmtId="3" fontId="22" fillId="0" borderId="7" xfId="0" applyNumberFormat="1" applyFont="1" applyBorder="1" applyAlignment="1">
      <alignment horizontal="center" vertical="center"/>
    </xf>
    <xf numFmtId="3" fontId="22" fillId="0" borderId="8" xfId="0" applyNumberFormat="1" applyFont="1" applyBorder="1" applyAlignment="1">
      <alignment horizontal="center" vertical="center"/>
    </xf>
    <xf numFmtId="3" fontId="20" fillId="2" borderId="6" xfId="0" applyNumberFormat="1" applyFont="1" applyFill="1" applyBorder="1" applyAlignment="1">
      <alignment horizontal="center" vertical="center"/>
    </xf>
    <xf numFmtId="3" fontId="20" fillId="2" borderId="7" xfId="0" applyNumberFormat="1" applyFont="1" applyFill="1" applyBorder="1" applyAlignment="1">
      <alignment horizontal="center" vertical="center"/>
    </xf>
    <xf numFmtId="3" fontId="20" fillId="2" borderId="8" xfId="0" applyNumberFormat="1" applyFont="1" applyFill="1" applyBorder="1" applyAlignment="1">
      <alignment horizontal="center" vertical="center"/>
    </xf>
    <xf numFmtId="3" fontId="16" fillId="0" borderId="8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7" fillId="0" borderId="20" xfId="0" applyFont="1" applyBorder="1" applyAlignment="1">
      <alignment horizontal="center" vertical="center" readingOrder="1"/>
    </xf>
    <xf numFmtId="0" fontId="9" fillId="5" borderId="17" xfId="0" applyFont="1" applyFill="1" applyBorder="1" applyAlignment="1">
      <alignment horizontal="right" vertical="center"/>
    </xf>
    <xf numFmtId="0" fontId="9" fillId="5" borderId="5" xfId="0" applyFont="1" applyFill="1" applyBorder="1" applyAlignment="1">
      <alignment horizontal="right" vertical="center"/>
    </xf>
    <xf numFmtId="0" fontId="9" fillId="5" borderId="18" xfId="0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 readingOrder="1"/>
    </xf>
    <xf numFmtId="0" fontId="7" fillId="0" borderId="5" xfId="0" applyFont="1" applyBorder="1" applyAlignment="1">
      <alignment horizontal="center" vertical="center" readingOrder="1"/>
    </xf>
    <xf numFmtId="0" fontId="7" fillId="0" borderId="18" xfId="0" applyFont="1" applyBorder="1" applyAlignment="1">
      <alignment horizontal="center" vertical="center" readingOrder="1"/>
    </xf>
    <xf numFmtId="0" fontId="9" fillId="0" borderId="19" xfId="0" applyFont="1" applyBorder="1" applyAlignment="1">
      <alignment horizontal="right" vertical="center"/>
    </xf>
    <xf numFmtId="0" fontId="9" fillId="0" borderId="7" xfId="0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0" borderId="18" xfId="0" applyFont="1" applyBorder="1" applyAlignment="1">
      <alignment horizontal="right" vertical="center"/>
    </xf>
    <xf numFmtId="0" fontId="1" fillId="0" borderId="1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9" fillId="0" borderId="17" xfId="0" applyFont="1" applyBorder="1" applyAlignment="1">
      <alignment horizontal="right" vertical="center"/>
    </xf>
    <xf numFmtId="0" fontId="9" fillId="5" borderId="19" xfId="0" applyFont="1" applyFill="1" applyBorder="1" applyAlignment="1">
      <alignment horizontal="right" vertical="center"/>
    </xf>
    <xf numFmtId="0" fontId="9" fillId="5" borderId="7" xfId="0" applyFont="1" applyFill="1" applyBorder="1" applyAlignment="1">
      <alignment horizontal="right" vertical="center"/>
    </xf>
    <xf numFmtId="0" fontId="9" fillId="5" borderId="8" xfId="0" applyFont="1" applyFill="1" applyBorder="1" applyAlignment="1">
      <alignment horizontal="right" vertical="center"/>
    </xf>
    <xf numFmtId="0" fontId="12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3" fontId="21" fillId="0" borderId="6" xfId="0" applyNumberFormat="1" applyFont="1" applyBorder="1" applyAlignment="1">
      <alignment horizontal="center" vertical="center"/>
    </xf>
    <xf numFmtId="3" fontId="21" fillId="0" borderId="7" xfId="0" applyNumberFormat="1" applyFont="1" applyBorder="1" applyAlignment="1">
      <alignment horizontal="center" vertical="center"/>
    </xf>
    <xf numFmtId="3" fontId="21" fillId="0" borderId="8" xfId="0" applyNumberFormat="1" applyFont="1" applyBorder="1" applyAlignment="1">
      <alignment horizontal="center" vertical="center"/>
    </xf>
    <xf numFmtId="3" fontId="28" fillId="0" borderId="6" xfId="0" applyNumberFormat="1" applyFont="1" applyBorder="1" applyAlignment="1">
      <alignment horizontal="center" vertical="center"/>
    </xf>
    <xf numFmtId="3" fontId="28" fillId="0" borderId="7" xfId="0" applyNumberFormat="1" applyFont="1" applyBorder="1" applyAlignment="1">
      <alignment horizontal="center" vertical="center"/>
    </xf>
    <xf numFmtId="3" fontId="28" fillId="0" borderId="20" xfId="0" applyNumberFormat="1" applyFont="1" applyBorder="1" applyAlignment="1">
      <alignment horizontal="center" vertical="center"/>
    </xf>
    <xf numFmtId="0" fontId="19" fillId="0" borderId="9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3" fontId="21" fillId="0" borderId="20" xfId="0" applyNumberFormat="1" applyFont="1" applyBorder="1" applyAlignment="1">
      <alignment horizontal="center" vertical="center"/>
    </xf>
    <xf numFmtId="0" fontId="9" fillId="2" borderId="17" xfId="0" applyFont="1" applyFill="1" applyBorder="1" applyAlignment="1">
      <alignment horizontal="right" vertical="center"/>
    </xf>
    <xf numFmtId="0" fontId="9" fillId="2" borderId="8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right" vertical="center"/>
    </xf>
    <xf numFmtId="0" fontId="9" fillId="2" borderId="18" xfId="0" applyFont="1" applyFill="1" applyBorder="1" applyAlignment="1">
      <alignment horizontal="right" vertical="center"/>
    </xf>
    <xf numFmtId="0" fontId="7" fillId="0" borderId="8" xfId="0" applyFont="1" applyBorder="1" applyAlignment="1">
      <alignment horizontal="center" vertical="center" readingOrder="1"/>
    </xf>
    <xf numFmtId="0" fontId="9" fillId="2" borderId="19" xfId="0" applyFont="1" applyFill="1" applyBorder="1" applyAlignment="1">
      <alignment horizontal="right" vertical="center"/>
    </xf>
    <xf numFmtId="0" fontId="9" fillId="2" borderId="7" xfId="0" applyFont="1" applyFill="1" applyBorder="1" applyAlignment="1">
      <alignment horizontal="right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3" fontId="27" fillId="0" borderId="6" xfId="0" applyNumberFormat="1" applyFont="1" applyBorder="1" applyAlignment="1">
      <alignment horizontal="center" vertical="center"/>
    </xf>
    <xf numFmtId="3" fontId="27" fillId="0" borderId="7" xfId="0" applyNumberFormat="1" applyFont="1" applyBorder="1" applyAlignment="1">
      <alignment horizontal="center" vertical="center"/>
    </xf>
    <xf numFmtId="3" fontId="27" fillId="0" borderId="2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670359</xdr:colOff>
      <xdr:row>22</xdr:row>
      <xdr:rowOff>90920</xdr:rowOff>
    </xdr:from>
    <xdr:to>
      <xdr:col>2</xdr:col>
      <xdr:colOff>4889</xdr:colOff>
      <xdr:row>22</xdr:row>
      <xdr:rowOff>255443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EE83C199-5127-4085-904E-B8C27E223B75}"/>
            </a:ext>
          </a:extLst>
        </xdr:cNvPr>
        <xdr:cNvSpPr>
          <a:spLocks noChangeArrowheads="1"/>
        </xdr:cNvSpPr>
      </xdr:nvSpPr>
      <xdr:spPr bwMode="auto">
        <a:xfrm>
          <a:off x="9979690036" y="6034520"/>
          <a:ext cx="163205" cy="16452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64655</xdr:colOff>
      <xdr:row>22</xdr:row>
      <xdr:rowOff>86446</xdr:rowOff>
    </xdr:from>
    <xdr:to>
      <xdr:col>3</xdr:col>
      <xdr:colOff>233507</xdr:colOff>
      <xdr:row>22</xdr:row>
      <xdr:rowOff>257896</xdr:rowOff>
    </xdr:to>
    <xdr:sp macro="" textlink="">
      <xdr:nvSpPr>
        <xdr:cNvPr id="3" name="Rectangle 8">
          <a:extLst>
            <a:ext uri="{FF2B5EF4-FFF2-40B4-BE49-F238E27FC236}">
              <a16:creationId xmlns:a16="http://schemas.microsoft.com/office/drawing/2014/main" id="{F4BE27C1-781C-47A1-96FC-2964816FD491}"/>
            </a:ext>
          </a:extLst>
        </xdr:cNvPr>
        <xdr:cNvSpPr>
          <a:spLocks noChangeArrowheads="1"/>
        </xdr:cNvSpPr>
      </xdr:nvSpPr>
      <xdr:spPr bwMode="auto">
        <a:xfrm>
          <a:off x="9978861343" y="6030046"/>
          <a:ext cx="168852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358029</xdr:colOff>
      <xdr:row>30</xdr:row>
      <xdr:rowOff>49866</xdr:rowOff>
    </xdr:from>
    <xdr:to>
      <xdr:col>37</xdr:col>
      <xdr:colOff>386603</xdr:colOff>
      <xdr:row>34</xdr:row>
      <xdr:rowOff>109257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B8858F4-AD19-462C-A1A6-2F52A5959FE2}"/>
            </a:ext>
          </a:extLst>
        </xdr:cNvPr>
        <xdr:cNvCxnSpPr/>
      </xdr:nvCxnSpPr>
      <xdr:spPr>
        <a:xfrm flipV="1">
          <a:off x="9891471573" y="7378513"/>
          <a:ext cx="1238810" cy="1202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670359</xdr:colOff>
      <xdr:row>18</xdr:row>
      <xdr:rowOff>90920</xdr:rowOff>
    </xdr:from>
    <xdr:to>
      <xdr:col>3</xdr:col>
      <xdr:colOff>4889</xdr:colOff>
      <xdr:row>18</xdr:row>
      <xdr:rowOff>255443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80DE26CF-6731-48C7-B467-9CD791119A98}"/>
            </a:ext>
          </a:extLst>
        </xdr:cNvPr>
        <xdr:cNvSpPr>
          <a:spLocks noChangeArrowheads="1"/>
        </xdr:cNvSpPr>
      </xdr:nvSpPr>
      <xdr:spPr bwMode="auto">
        <a:xfrm>
          <a:off x="9979956736" y="4510520"/>
          <a:ext cx="163205" cy="16452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r" rtl="1"/>
          <a:r>
            <a:rPr lang="fa-IR"/>
            <a:t>*+</a:t>
          </a:r>
          <a:endParaRPr lang="en-US"/>
        </a:p>
      </xdr:txBody>
    </xdr:sp>
    <xdr:clientData/>
  </xdr:twoCellAnchor>
  <xdr:twoCellAnchor>
    <xdr:from>
      <xdr:col>4</xdr:col>
      <xdr:colOff>64655</xdr:colOff>
      <xdr:row>18</xdr:row>
      <xdr:rowOff>86446</xdr:rowOff>
    </xdr:from>
    <xdr:to>
      <xdr:col>4</xdr:col>
      <xdr:colOff>233507</xdr:colOff>
      <xdr:row>18</xdr:row>
      <xdr:rowOff>257896</xdr:rowOff>
    </xdr:to>
    <xdr:sp macro="" textlink="">
      <xdr:nvSpPr>
        <xdr:cNvPr id="3" name="Rectangle 8">
          <a:extLst>
            <a:ext uri="{FF2B5EF4-FFF2-40B4-BE49-F238E27FC236}">
              <a16:creationId xmlns:a16="http://schemas.microsoft.com/office/drawing/2014/main" id="{5C1AA7E6-02C2-4B83-A684-D941C8D06D4C}"/>
            </a:ext>
          </a:extLst>
        </xdr:cNvPr>
        <xdr:cNvSpPr>
          <a:spLocks noChangeArrowheads="1"/>
        </xdr:cNvSpPr>
      </xdr:nvSpPr>
      <xdr:spPr bwMode="auto">
        <a:xfrm>
          <a:off x="9979128043" y="4506046"/>
          <a:ext cx="168852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358029</xdr:colOff>
      <xdr:row>26</xdr:row>
      <xdr:rowOff>49866</xdr:rowOff>
    </xdr:from>
    <xdr:to>
      <xdr:col>38</xdr:col>
      <xdr:colOff>386603</xdr:colOff>
      <xdr:row>30</xdr:row>
      <xdr:rowOff>109257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6231137-0C30-478E-BB83-B216FCC894B4}"/>
            </a:ext>
          </a:extLst>
        </xdr:cNvPr>
        <xdr:cNvCxnSpPr/>
      </xdr:nvCxnSpPr>
      <xdr:spPr>
        <a:xfrm flipV="1">
          <a:off x="9964744597" y="7374591"/>
          <a:ext cx="1247774" cy="1211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670359</xdr:colOff>
      <xdr:row>17</xdr:row>
      <xdr:rowOff>90920</xdr:rowOff>
    </xdr:from>
    <xdr:to>
      <xdr:col>2</xdr:col>
      <xdr:colOff>4889</xdr:colOff>
      <xdr:row>17</xdr:row>
      <xdr:rowOff>255443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25D58EF4-CDA4-49C4-88BB-E11DC94E19C0}"/>
            </a:ext>
          </a:extLst>
        </xdr:cNvPr>
        <xdr:cNvSpPr>
          <a:spLocks noChangeArrowheads="1"/>
        </xdr:cNvSpPr>
      </xdr:nvSpPr>
      <xdr:spPr bwMode="auto">
        <a:xfrm>
          <a:off x="9979956736" y="3510395"/>
          <a:ext cx="163205" cy="16452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r" rtl="1"/>
          <a:r>
            <a:rPr lang="fa-IR"/>
            <a:t>*</a:t>
          </a:r>
          <a:endParaRPr lang="en-US"/>
        </a:p>
      </xdr:txBody>
    </xdr:sp>
    <xdr:clientData/>
  </xdr:twoCellAnchor>
  <xdr:twoCellAnchor>
    <xdr:from>
      <xdr:col>3</xdr:col>
      <xdr:colOff>64655</xdr:colOff>
      <xdr:row>17</xdr:row>
      <xdr:rowOff>86446</xdr:rowOff>
    </xdr:from>
    <xdr:to>
      <xdr:col>3</xdr:col>
      <xdr:colOff>233507</xdr:colOff>
      <xdr:row>17</xdr:row>
      <xdr:rowOff>257896</xdr:rowOff>
    </xdr:to>
    <xdr:sp macro="" textlink="">
      <xdr:nvSpPr>
        <xdr:cNvPr id="3" name="Rectangle 8">
          <a:extLst>
            <a:ext uri="{FF2B5EF4-FFF2-40B4-BE49-F238E27FC236}">
              <a16:creationId xmlns:a16="http://schemas.microsoft.com/office/drawing/2014/main" id="{2233773F-D7F0-439E-A1AB-6C72F0742C0B}"/>
            </a:ext>
          </a:extLst>
        </xdr:cNvPr>
        <xdr:cNvSpPr>
          <a:spLocks noChangeArrowheads="1"/>
        </xdr:cNvSpPr>
      </xdr:nvSpPr>
      <xdr:spPr bwMode="auto">
        <a:xfrm>
          <a:off x="9979128043" y="3505921"/>
          <a:ext cx="168852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358029</xdr:colOff>
      <xdr:row>25</xdr:row>
      <xdr:rowOff>49866</xdr:rowOff>
    </xdr:from>
    <xdr:to>
      <xdr:col>37</xdr:col>
      <xdr:colOff>386603</xdr:colOff>
      <xdr:row>29</xdr:row>
      <xdr:rowOff>109257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07134F0-FE29-4521-A240-A068E2BF57ED}"/>
            </a:ext>
          </a:extLst>
        </xdr:cNvPr>
        <xdr:cNvCxnSpPr/>
      </xdr:nvCxnSpPr>
      <xdr:spPr>
        <a:xfrm flipV="1">
          <a:off x="9964744597" y="6374466"/>
          <a:ext cx="1247774" cy="1211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FF9A-B1CF-4A2B-9CC5-9181FFFA304B}">
  <sheetPr>
    <tabColor rgb="FF92D050"/>
  </sheetPr>
  <dimension ref="A1:AK32"/>
  <sheetViews>
    <sheetView rightToLeft="1" view="pageBreakPreview" topLeftCell="A7" zoomScale="130" zoomScaleNormal="115" zoomScaleSheetLayoutView="130" workbookViewId="0">
      <selection activeCell="G19" sqref="G19"/>
    </sheetView>
  </sheetViews>
  <sheetFormatPr defaultColWidth="9.140625" defaultRowHeight="15.75" x14ac:dyDescent="0.2"/>
  <cols>
    <col min="1" max="1" width="4.28515625" style="2" customWidth="1"/>
    <col min="2" max="2" width="12.42578125" style="2" customWidth="1"/>
    <col min="3" max="3" width="9" style="2" customWidth="1"/>
    <col min="4" max="4" width="27.5703125" style="2" customWidth="1"/>
    <col min="5" max="5" width="3.28515625" style="6" customWidth="1"/>
    <col min="6" max="6" width="6" style="6" customWidth="1"/>
    <col min="7" max="7" width="9.85546875" style="6" customWidth="1"/>
    <col min="8" max="8" width="4.85546875" style="6" customWidth="1"/>
    <col min="9" max="9" width="16.28515625" style="6" customWidth="1"/>
    <col min="10" max="10" width="4.28515625" style="6" customWidth="1"/>
    <col min="11" max="12" width="3" style="6" customWidth="1"/>
    <col min="13" max="13" width="8.7109375" style="6" customWidth="1"/>
    <col min="14" max="16" width="3.7109375" style="6" customWidth="1"/>
    <col min="17" max="17" width="8.28515625" style="6" customWidth="1"/>
    <col min="18" max="19" width="3" style="2" customWidth="1"/>
    <col min="20" max="20" width="4.7109375" style="2" customWidth="1"/>
    <col min="21" max="30" width="3.7109375" style="2" customWidth="1"/>
    <col min="31" max="31" width="0.42578125" style="2" customWidth="1"/>
    <col min="32" max="32" width="13.140625" style="1" customWidth="1"/>
    <col min="33" max="34" width="9.140625" style="1" customWidth="1"/>
    <col min="35" max="16384" width="9.140625" style="1"/>
  </cols>
  <sheetData>
    <row r="1" spans="1:37" ht="30.6" customHeight="1" thickTop="1" x14ac:dyDescent="0.2">
      <c r="A1" s="19"/>
      <c r="B1" s="20"/>
      <c r="C1" s="20"/>
      <c r="D1" s="20"/>
      <c r="E1" s="110" t="s">
        <v>23</v>
      </c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3"/>
      <c r="S1" s="113"/>
      <c r="T1" s="113"/>
      <c r="U1" s="20"/>
      <c r="V1" s="20"/>
      <c r="W1" s="20"/>
      <c r="X1" s="20"/>
      <c r="Y1" s="114" t="s">
        <v>14</v>
      </c>
      <c r="Z1" s="114"/>
      <c r="AA1" s="114"/>
      <c r="AB1" s="115"/>
      <c r="AC1" s="115"/>
      <c r="AD1" s="115"/>
      <c r="AE1" s="21"/>
    </row>
    <row r="2" spans="1:37" ht="5.45" customHeight="1" x14ac:dyDescent="0.2">
      <c r="A2" s="2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23"/>
      <c r="S2" s="23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5"/>
    </row>
    <row r="3" spans="1:37" ht="34.15" customHeight="1" x14ac:dyDescent="0.2">
      <c r="A3" s="2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6"/>
      <c r="S3" s="116"/>
      <c r="T3" s="116"/>
      <c r="U3" s="26"/>
      <c r="Y3" s="117" t="s">
        <v>13</v>
      </c>
      <c r="Z3" s="117"/>
      <c r="AA3" s="117"/>
      <c r="AB3" s="118" t="s">
        <v>40</v>
      </c>
      <c r="AC3" s="119"/>
      <c r="AD3" s="119"/>
      <c r="AE3" s="27"/>
    </row>
    <row r="4" spans="1:37" s="3" customFormat="1" ht="13.5" customHeight="1" x14ac:dyDescent="0.2">
      <c r="A4" s="95" t="s">
        <v>0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7"/>
    </row>
    <row r="5" spans="1:37" ht="15.75" customHeight="1" x14ac:dyDescent="0.2">
      <c r="A5" s="107" t="s">
        <v>50</v>
      </c>
      <c r="B5" s="108"/>
      <c r="C5" s="108"/>
      <c r="D5" s="109"/>
      <c r="E5" s="93" t="s">
        <v>56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 t="s">
        <v>52</v>
      </c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4"/>
    </row>
    <row r="6" spans="1:37" ht="5.25" hidden="1" customHeight="1" x14ac:dyDescent="0.2">
      <c r="A6" s="120"/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2"/>
    </row>
    <row r="7" spans="1:37" ht="16.5" customHeight="1" x14ac:dyDescent="0.2">
      <c r="A7" s="107" t="s">
        <v>51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  <c r="R7" s="93" t="s">
        <v>53</v>
      </c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4"/>
    </row>
    <row r="8" spans="1:37" ht="12.75" customHeight="1" x14ac:dyDescent="0.2">
      <c r="A8" s="92" t="s">
        <v>55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 t="s">
        <v>54</v>
      </c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4"/>
    </row>
    <row r="9" spans="1:37" ht="12.75" customHeight="1" x14ac:dyDescent="0.2">
      <c r="A9" s="95" t="s">
        <v>1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7"/>
    </row>
    <row r="10" spans="1:37" ht="15.75" customHeight="1" x14ac:dyDescent="0.2">
      <c r="A10" s="98" t="s">
        <v>41</v>
      </c>
      <c r="B10" s="99"/>
      <c r="C10" s="99"/>
      <c r="D10" s="100"/>
      <c r="E10" s="101" t="s">
        <v>19</v>
      </c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 t="s">
        <v>20</v>
      </c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2"/>
    </row>
    <row r="11" spans="1:37" ht="6" hidden="1" customHeight="1" x14ac:dyDescent="0.2">
      <c r="A11" s="103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5"/>
    </row>
    <row r="12" spans="1:37" ht="16.5" customHeight="1" x14ac:dyDescent="0.2">
      <c r="A12" s="98" t="s">
        <v>42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100"/>
      <c r="R12" s="101" t="s">
        <v>16</v>
      </c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2"/>
    </row>
    <row r="13" spans="1:37" ht="12.75" customHeight="1" x14ac:dyDescent="0.2">
      <c r="A13" s="106" t="s">
        <v>18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 t="s">
        <v>21</v>
      </c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2"/>
    </row>
    <row r="14" spans="1:37" ht="13.5" customHeight="1" x14ac:dyDescent="0.2">
      <c r="A14" s="89" t="s">
        <v>2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1"/>
    </row>
    <row r="15" spans="1:37" s="5" customFormat="1" ht="32.25" customHeight="1" x14ac:dyDescent="0.2">
      <c r="A15" s="28" t="s">
        <v>3</v>
      </c>
      <c r="B15" s="83" t="s">
        <v>4</v>
      </c>
      <c r="C15" s="84"/>
      <c r="D15" s="85"/>
      <c r="E15" s="86" t="s">
        <v>12</v>
      </c>
      <c r="F15" s="87"/>
      <c r="G15" s="7" t="s">
        <v>26</v>
      </c>
      <c r="H15" s="86" t="s">
        <v>5</v>
      </c>
      <c r="I15" s="87"/>
      <c r="J15" s="86" t="s">
        <v>6</v>
      </c>
      <c r="K15" s="88"/>
      <c r="L15" s="88"/>
      <c r="M15" s="87"/>
      <c r="N15" s="86" t="s">
        <v>7</v>
      </c>
      <c r="O15" s="88"/>
      <c r="P15" s="88"/>
      <c r="Q15" s="87"/>
      <c r="R15" s="86" t="s">
        <v>15</v>
      </c>
      <c r="S15" s="88"/>
      <c r="T15" s="88"/>
      <c r="U15" s="88"/>
      <c r="V15" s="88"/>
      <c r="W15" s="87"/>
      <c r="X15" s="81" t="s">
        <v>8</v>
      </c>
      <c r="Y15" s="81"/>
      <c r="Z15" s="81"/>
      <c r="AA15" s="81"/>
      <c r="AB15" s="81"/>
      <c r="AC15" s="81"/>
      <c r="AD15" s="81"/>
      <c r="AE15" s="82"/>
    </row>
    <row r="16" spans="1:37" s="5" customFormat="1" ht="15" customHeight="1" x14ac:dyDescent="0.5">
      <c r="A16" s="29">
        <v>1</v>
      </c>
      <c r="B16" s="69" t="s">
        <v>43</v>
      </c>
      <c r="C16" s="70"/>
      <c r="D16" s="71"/>
      <c r="E16" s="72">
        <v>150</v>
      </c>
      <c r="F16" s="73"/>
      <c r="G16" s="9" t="s">
        <v>44</v>
      </c>
      <c r="H16" s="67">
        <f>AJ16+(AJ16*0.2)</f>
        <v>3856740</v>
      </c>
      <c r="I16" s="68"/>
      <c r="J16" s="74">
        <f>H16*E16</f>
        <v>578511000</v>
      </c>
      <c r="K16" s="75"/>
      <c r="L16" s="75"/>
      <c r="M16" s="76"/>
      <c r="N16" s="77"/>
      <c r="O16" s="78"/>
      <c r="P16" s="78"/>
      <c r="Q16" s="79"/>
      <c r="R16" s="64"/>
      <c r="S16" s="65"/>
      <c r="T16" s="65"/>
      <c r="U16" s="65"/>
      <c r="V16" s="65"/>
      <c r="W16" s="80"/>
      <c r="X16" s="64"/>
      <c r="Y16" s="65"/>
      <c r="Z16" s="65"/>
      <c r="AA16" s="65"/>
      <c r="AB16" s="65"/>
      <c r="AC16" s="65"/>
      <c r="AD16" s="65"/>
      <c r="AE16" s="66"/>
      <c r="AH16" s="5" t="s">
        <v>27</v>
      </c>
      <c r="AI16" s="5">
        <v>20</v>
      </c>
      <c r="AJ16" s="67">
        <v>3213950</v>
      </c>
      <c r="AK16" s="68"/>
    </row>
    <row r="17" spans="1:37" s="5" customFormat="1" ht="15" customHeight="1" x14ac:dyDescent="0.5">
      <c r="A17" s="29">
        <v>2</v>
      </c>
      <c r="B17" s="69" t="s">
        <v>45</v>
      </c>
      <c r="C17" s="70"/>
      <c r="D17" s="71"/>
      <c r="E17" s="72">
        <v>1440</v>
      </c>
      <c r="F17" s="73"/>
      <c r="G17" s="9" t="s">
        <v>25</v>
      </c>
      <c r="H17" s="67">
        <f t="shared" ref="H17:H21" si="0">AJ17+(AJ17*0.2)</f>
        <v>487740</v>
      </c>
      <c r="I17" s="68"/>
      <c r="J17" s="74">
        <f t="shared" ref="J17" si="1">H17*E17</f>
        <v>702345600</v>
      </c>
      <c r="K17" s="75"/>
      <c r="L17" s="75"/>
      <c r="M17" s="76"/>
      <c r="N17" s="77"/>
      <c r="O17" s="78"/>
      <c r="P17" s="78"/>
      <c r="Q17" s="79"/>
      <c r="R17" s="64"/>
      <c r="S17" s="65"/>
      <c r="T17" s="65"/>
      <c r="U17" s="65"/>
      <c r="V17" s="65"/>
      <c r="W17" s="80"/>
      <c r="X17" s="64"/>
      <c r="Y17" s="65"/>
      <c r="Z17" s="65"/>
      <c r="AA17" s="65"/>
      <c r="AB17" s="65"/>
      <c r="AC17" s="65"/>
      <c r="AD17" s="65"/>
      <c r="AE17" s="66"/>
      <c r="AJ17" s="67">
        <v>406450</v>
      </c>
      <c r="AK17" s="68"/>
    </row>
    <row r="18" spans="1:37" s="5" customFormat="1" ht="15" customHeight="1" x14ac:dyDescent="0.5">
      <c r="A18" s="29">
        <v>3</v>
      </c>
      <c r="B18" s="69" t="s">
        <v>46</v>
      </c>
      <c r="C18" s="70"/>
      <c r="D18" s="71"/>
      <c r="E18" s="72">
        <v>500</v>
      </c>
      <c r="F18" s="73"/>
      <c r="G18" s="9" t="s">
        <v>25</v>
      </c>
      <c r="H18" s="67">
        <f>AJ18+(AJ18*0.2)</f>
        <v>830832</v>
      </c>
      <c r="I18" s="68"/>
      <c r="J18" s="74">
        <f t="shared" ref="J18:J21" si="2">H18*E18</f>
        <v>415416000</v>
      </c>
      <c r="K18" s="75"/>
      <c r="L18" s="75"/>
      <c r="M18" s="76"/>
      <c r="N18" s="77"/>
      <c r="O18" s="78"/>
      <c r="P18" s="78"/>
      <c r="Q18" s="79"/>
      <c r="R18" s="64"/>
      <c r="S18" s="65"/>
      <c r="T18" s="65"/>
      <c r="U18" s="65"/>
      <c r="V18" s="65"/>
      <c r="W18" s="80"/>
      <c r="X18" s="64"/>
      <c r="Y18" s="65"/>
      <c r="Z18" s="65"/>
      <c r="AA18" s="65"/>
      <c r="AB18" s="65"/>
      <c r="AC18" s="65"/>
      <c r="AD18" s="65"/>
      <c r="AE18" s="66"/>
      <c r="AJ18" s="67">
        <v>692360</v>
      </c>
      <c r="AK18" s="68"/>
    </row>
    <row r="19" spans="1:37" s="5" customFormat="1" ht="18.75" customHeight="1" x14ac:dyDescent="0.5">
      <c r="A19" s="29">
        <v>4</v>
      </c>
      <c r="B19" s="69" t="s">
        <v>47</v>
      </c>
      <c r="C19" s="70"/>
      <c r="D19" s="71"/>
      <c r="E19" s="72">
        <v>600</v>
      </c>
      <c r="F19" s="73"/>
      <c r="G19" s="9" t="s">
        <v>25</v>
      </c>
      <c r="H19" s="67">
        <f t="shared" si="0"/>
        <v>1084644</v>
      </c>
      <c r="I19" s="68"/>
      <c r="J19" s="74">
        <f t="shared" si="2"/>
        <v>650786400</v>
      </c>
      <c r="K19" s="75"/>
      <c r="L19" s="75"/>
      <c r="M19" s="76"/>
      <c r="N19" s="77"/>
      <c r="O19" s="78"/>
      <c r="P19" s="78"/>
      <c r="Q19" s="79"/>
      <c r="R19" s="64"/>
      <c r="S19" s="65"/>
      <c r="T19" s="65"/>
      <c r="U19" s="65"/>
      <c r="V19" s="65"/>
      <c r="W19" s="80"/>
      <c r="X19" s="64"/>
      <c r="Y19" s="65"/>
      <c r="Z19" s="65"/>
      <c r="AA19" s="65"/>
      <c r="AB19" s="65"/>
      <c r="AC19" s="65"/>
      <c r="AD19" s="65"/>
      <c r="AE19" s="66"/>
      <c r="AJ19" s="67">
        <v>903870</v>
      </c>
      <c r="AK19" s="68"/>
    </row>
    <row r="20" spans="1:37" s="5" customFormat="1" ht="15" customHeight="1" x14ac:dyDescent="0.5">
      <c r="A20" s="29">
        <v>5</v>
      </c>
      <c r="B20" s="69" t="s">
        <v>48</v>
      </c>
      <c r="C20" s="70"/>
      <c r="D20" s="71"/>
      <c r="E20" s="72">
        <v>500</v>
      </c>
      <c r="F20" s="73"/>
      <c r="G20" s="9" t="s">
        <v>25</v>
      </c>
      <c r="H20" s="67">
        <f t="shared" si="0"/>
        <v>396318</v>
      </c>
      <c r="I20" s="68"/>
      <c r="J20" s="74">
        <f t="shared" si="2"/>
        <v>198159000</v>
      </c>
      <c r="K20" s="75"/>
      <c r="L20" s="75"/>
      <c r="M20" s="76"/>
      <c r="N20" s="77"/>
      <c r="O20" s="78"/>
      <c r="P20" s="78"/>
      <c r="Q20" s="79"/>
      <c r="R20" s="64"/>
      <c r="S20" s="65"/>
      <c r="T20" s="65"/>
      <c r="U20" s="65"/>
      <c r="V20" s="65"/>
      <c r="W20" s="80"/>
      <c r="X20" s="64"/>
      <c r="Y20" s="65"/>
      <c r="Z20" s="65"/>
      <c r="AA20" s="65"/>
      <c r="AB20" s="65"/>
      <c r="AC20" s="65"/>
      <c r="AD20" s="65"/>
      <c r="AE20" s="66"/>
      <c r="AI20" s="18"/>
      <c r="AJ20" s="67">
        <v>330265</v>
      </c>
      <c r="AK20" s="68"/>
    </row>
    <row r="21" spans="1:37" s="5" customFormat="1" ht="15" customHeight="1" x14ac:dyDescent="0.5">
      <c r="A21" s="29">
        <v>6</v>
      </c>
      <c r="B21" s="69" t="s">
        <v>49</v>
      </c>
      <c r="C21" s="70"/>
      <c r="D21" s="71"/>
      <c r="E21" s="72">
        <v>600</v>
      </c>
      <c r="F21" s="73"/>
      <c r="G21" s="9" t="s">
        <v>25</v>
      </c>
      <c r="H21" s="67">
        <f t="shared" si="0"/>
        <v>382536</v>
      </c>
      <c r="I21" s="68"/>
      <c r="J21" s="74">
        <f t="shared" si="2"/>
        <v>229521600</v>
      </c>
      <c r="K21" s="75"/>
      <c r="L21" s="75"/>
      <c r="M21" s="76"/>
      <c r="N21" s="77"/>
      <c r="O21" s="78"/>
      <c r="P21" s="78"/>
      <c r="Q21" s="79"/>
      <c r="R21" s="64"/>
      <c r="S21" s="65"/>
      <c r="T21" s="65"/>
      <c r="U21" s="65"/>
      <c r="V21" s="65"/>
      <c r="W21" s="80"/>
      <c r="X21" s="64"/>
      <c r="Y21" s="65"/>
      <c r="Z21" s="65"/>
      <c r="AA21" s="65"/>
      <c r="AB21" s="65"/>
      <c r="AC21" s="65"/>
      <c r="AD21" s="65"/>
      <c r="AE21" s="66"/>
      <c r="AJ21" s="67">
        <v>318780</v>
      </c>
      <c r="AK21" s="68"/>
    </row>
    <row r="22" spans="1:37" s="5" customFormat="1" ht="23.45" customHeight="1" x14ac:dyDescent="0.2">
      <c r="A22" s="30" t="s">
        <v>22</v>
      </c>
      <c r="B22" s="42"/>
      <c r="C22" s="42"/>
      <c r="D22" s="42"/>
      <c r="E22" s="42"/>
      <c r="F22" s="42"/>
      <c r="G22" s="42"/>
      <c r="H22" s="42"/>
      <c r="I22" s="43"/>
      <c r="J22" s="44">
        <f>SUM(J16:M21)</f>
        <v>2774739600</v>
      </c>
      <c r="K22" s="45"/>
      <c r="L22" s="45"/>
      <c r="M22" s="46"/>
      <c r="N22" s="47"/>
      <c r="O22" s="48"/>
      <c r="P22" s="48"/>
      <c r="Q22" s="49"/>
      <c r="R22" s="50"/>
      <c r="S22" s="51"/>
      <c r="T22" s="51"/>
      <c r="U22" s="51"/>
      <c r="V22" s="51"/>
      <c r="W22" s="52"/>
      <c r="X22" s="53"/>
      <c r="Y22" s="54"/>
      <c r="Z22" s="54"/>
      <c r="AA22" s="54"/>
      <c r="AB22" s="54"/>
      <c r="AC22" s="54"/>
      <c r="AD22" s="54"/>
      <c r="AE22" s="55"/>
    </row>
    <row r="23" spans="1:37" s="5" customFormat="1" ht="27.6" customHeight="1" x14ac:dyDescent="0.2">
      <c r="A23" s="56" t="s">
        <v>10</v>
      </c>
      <c r="B23" s="57"/>
      <c r="C23" s="57"/>
      <c r="D23" s="57"/>
      <c r="E23" s="58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60"/>
    </row>
    <row r="24" spans="1:37" s="5" customFormat="1" ht="66.599999999999994" customHeight="1" x14ac:dyDescent="0.2">
      <c r="A24" s="56" t="s">
        <v>17</v>
      </c>
      <c r="B24" s="57"/>
      <c r="C24" s="57"/>
      <c r="D24" s="57"/>
      <c r="E24" s="61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3"/>
      <c r="AF24" s="8"/>
    </row>
    <row r="25" spans="1:37" s="5" customFormat="1" ht="36" customHeight="1" thickBot="1" x14ac:dyDescent="0.25">
      <c r="A25" s="37" t="s">
        <v>11</v>
      </c>
      <c r="B25" s="38"/>
      <c r="C25" s="38"/>
      <c r="D25" s="38"/>
      <c r="E25" s="39" t="s">
        <v>9</v>
      </c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1"/>
    </row>
    <row r="26" spans="1:37" s="5" customFormat="1" ht="15" customHeight="1" thickTop="1" x14ac:dyDescent="0.2">
      <c r="A26" s="2"/>
      <c r="B26" s="2"/>
      <c r="C26" s="2"/>
      <c r="D26" s="2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7" s="5" customFormat="1" ht="15" customHeight="1" x14ac:dyDescent="0.2">
      <c r="A27" s="2"/>
      <c r="B27" s="2"/>
      <c r="C27" s="2"/>
      <c r="D27" s="2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7" s="5" customFormat="1" ht="15" customHeight="1" x14ac:dyDescent="0.2">
      <c r="A28" s="2"/>
      <c r="B28" s="2"/>
      <c r="C28" s="2"/>
      <c r="D28" s="2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7" ht="22.5" customHeight="1" x14ac:dyDescent="0.2"/>
    <row r="30" spans="1:37" ht="32.25" customHeight="1" x14ac:dyDescent="0.2"/>
    <row r="31" spans="1:37" ht="35.25" customHeight="1" x14ac:dyDescent="0.2"/>
    <row r="32" spans="1:37" s="2" customFormat="1" ht="30" customHeight="1" x14ac:dyDescent="0.2"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X32" s="4"/>
      <c r="AF32" s="1"/>
      <c r="AG32" s="1"/>
      <c r="AH32" s="1"/>
      <c r="AI32" s="1"/>
      <c r="AJ32" s="1"/>
      <c r="AK32" s="1"/>
    </row>
  </sheetData>
  <mergeCells count="91">
    <mergeCell ref="A7:Q7"/>
    <mergeCell ref="R7:AE7"/>
    <mergeCell ref="E1:Q3"/>
    <mergeCell ref="R1:T1"/>
    <mergeCell ref="Y1:AA1"/>
    <mergeCell ref="AB1:AD1"/>
    <mergeCell ref="R3:T3"/>
    <mergeCell ref="Y3:AA3"/>
    <mergeCell ref="AB3:AD3"/>
    <mergeCell ref="A4:AE4"/>
    <mergeCell ref="A5:D5"/>
    <mergeCell ref="E5:Q5"/>
    <mergeCell ref="R5:AE5"/>
    <mergeCell ref="A6:AE6"/>
    <mergeCell ref="A14:AE14"/>
    <mergeCell ref="A8:Q8"/>
    <mergeCell ref="R8:AE8"/>
    <mergeCell ref="A9:AE9"/>
    <mergeCell ref="A10:D10"/>
    <mergeCell ref="E10:Q10"/>
    <mergeCell ref="R10:AE10"/>
    <mergeCell ref="A11:AE11"/>
    <mergeCell ref="A12:Q12"/>
    <mergeCell ref="R12:AE12"/>
    <mergeCell ref="A13:Q13"/>
    <mergeCell ref="R13:AE13"/>
    <mergeCell ref="X15:AE15"/>
    <mergeCell ref="B16:D16"/>
    <mergeCell ref="E16:F16"/>
    <mergeCell ref="H16:I16"/>
    <mergeCell ref="J16:M16"/>
    <mergeCell ref="N16:Q16"/>
    <mergeCell ref="R16:W16"/>
    <mergeCell ref="X16:AE16"/>
    <mergeCell ref="B15:D15"/>
    <mergeCell ref="E15:F15"/>
    <mergeCell ref="H15:I15"/>
    <mergeCell ref="J15:M15"/>
    <mergeCell ref="N15:Q15"/>
    <mergeCell ref="R15:W15"/>
    <mergeCell ref="AJ16:AK16"/>
    <mergeCell ref="B17:D17"/>
    <mergeCell ref="E17:F17"/>
    <mergeCell ref="H17:I17"/>
    <mergeCell ref="J17:M17"/>
    <mergeCell ref="N17:Q17"/>
    <mergeCell ref="R17:W17"/>
    <mergeCell ref="X17:AE17"/>
    <mergeCell ref="AJ17:AK17"/>
    <mergeCell ref="X18:AE18"/>
    <mergeCell ref="AJ18:AK18"/>
    <mergeCell ref="B19:D19"/>
    <mergeCell ref="E19:F19"/>
    <mergeCell ref="H19:I19"/>
    <mergeCell ref="J19:M19"/>
    <mergeCell ref="N19:Q19"/>
    <mergeCell ref="R19:W19"/>
    <mergeCell ref="X19:AE19"/>
    <mergeCell ref="AJ19:AK19"/>
    <mergeCell ref="B18:D18"/>
    <mergeCell ref="E18:F18"/>
    <mergeCell ref="H18:I18"/>
    <mergeCell ref="J18:M18"/>
    <mergeCell ref="N18:Q18"/>
    <mergeCell ref="R18:W18"/>
    <mergeCell ref="X20:AE20"/>
    <mergeCell ref="AJ20:AK20"/>
    <mergeCell ref="B21:D21"/>
    <mergeCell ref="E21:F21"/>
    <mergeCell ref="H21:I21"/>
    <mergeCell ref="J21:M21"/>
    <mergeCell ref="N21:Q21"/>
    <mergeCell ref="R21:W21"/>
    <mergeCell ref="X21:AE21"/>
    <mergeCell ref="AJ21:AK21"/>
    <mergeCell ref="B20:D20"/>
    <mergeCell ref="E20:F20"/>
    <mergeCell ref="H20:I20"/>
    <mergeCell ref="J20:M20"/>
    <mergeCell ref="N20:Q20"/>
    <mergeCell ref="R20:W20"/>
    <mergeCell ref="A25:D25"/>
    <mergeCell ref="E25:AE25"/>
    <mergeCell ref="B22:I22"/>
    <mergeCell ref="J22:M22"/>
    <mergeCell ref="N22:Q22"/>
    <mergeCell ref="R22:W22"/>
    <mergeCell ref="X22:AE22"/>
    <mergeCell ref="A23:D23"/>
    <mergeCell ref="E23:AE24"/>
    <mergeCell ref="A24:D24"/>
  </mergeCells>
  <printOptions horizontalCentered="1" verticalCentered="1"/>
  <pageMargins left="0.23622047244094491" right="0.23622047244094491" top="0.15748031496062992" bottom="0.74803149606299213" header="0.31496062992125984" footer="0.31496062992125984"/>
  <pageSetup paperSize="9" scale="7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543F-9B8E-4BCB-B436-0660ED73B4B6}">
  <sheetPr>
    <tabColor rgb="FF92D050"/>
  </sheetPr>
  <dimension ref="A1:AL28"/>
  <sheetViews>
    <sheetView rightToLeft="1" tabSelected="1" view="pageBreakPreview" zoomScale="130" zoomScaleNormal="115" zoomScaleSheetLayoutView="130" workbookViewId="0">
      <selection activeCell="F19" sqref="F19:AF20"/>
    </sheetView>
  </sheetViews>
  <sheetFormatPr defaultColWidth="9.140625" defaultRowHeight="15.75" x14ac:dyDescent="0.2"/>
  <cols>
    <col min="1" max="1" width="4.28515625" style="2" customWidth="1"/>
    <col min="2" max="2" width="10.140625" style="2" customWidth="1"/>
    <col min="3" max="3" width="12.42578125" style="2" customWidth="1"/>
    <col min="4" max="4" width="9" style="2" customWidth="1"/>
    <col min="5" max="5" width="14.140625" style="2" customWidth="1"/>
    <col min="6" max="6" width="3.28515625" style="6" customWidth="1"/>
    <col min="7" max="7" width="6" style="6" customWidth="1"/>
    <col min="8" max="8" width="9.85546875" style="6" customWidth="1"/>
    <col min="9" max="9" width="4.85546875" style="6" customWidth="1"/>
    <col min="10" max="10" width="16.28515625" style="6" customWidth="1"/>
    <col min="11" max="11" width="4.28515625" style="6" customWidth="1"/>
    <col min="12" max="13" width="3" style="6" customWidth="1"/>
    <col min="14" max="14" width="8.7109375" style="6" customWidth="1"/>
    <col min="15" max="17" width="3.7109375" style="6" customWidth="1"/>
    <col min="18" max="18" width="8.28515625" style="6" customWidth="1"/>
    <col min="19" max="20" width="3" style="2" customWidth="1"/>
    <col min="21" max="21" width="4.7109375" style="2" customWidth="1"/>
    <col min="22" max="31" width="3.7109375" style="2" customWidth="1"/>
    <col min="32" max="32" width="0.42578125" style="2" customWidth="1"/>
    <col min="33" max="33" width="13.140625" style="1" customWidth="1"/>
    <col min="34" max="35" width="9.140625" style="1" customWidth="1"/>
    <col min="36" max="16384" width="9.140625" style="1"/>
  </cols>
  <sheetData>
    <row r="1" spans="1:38" ht="30.6" customHeight="1" thickTop="1" x14ac:dyDescent="0.2">
      <c r="A1" s="144" t="s">
        <v>23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3"/>
      <c r="T1" s="113"/>
      <c r="U1" s="113"/>
      <c r="V1" s="20"/>
      <c r="W1" s="20"/>
      <c r="X1" s="20"/>
      <c r="Y1" s="20"/>
      <c r="Z1" s="114" t="s">
        <v>14</v>
      </c>
      <c r="AA1" s="114"/>
      <c r="AB1" s="114"/>
      <c r="AC1" s="115">
        <v>14041638</v>
      </c>
      <c r="AD1" s="115"/>
      <c r="AE1" s="115"/>
      <c r="AF1" s="21"/>
    </row>
    <row r="2" spans="1:38" ht="5.45" customHeight="1" x14ac:dyDescent="0.2">
      <c r="A2" s="145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23"/>
      <c r="T2" s="23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5"/>
    </row>
    <row r="3" spans="1:38" ht="34.15" customHeight="1" x14ac:dyDescent="0.2">
      <c r="A3" s="147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16"/>
      <c r="T3" s="116"/>
      <c r="U3" s="116"/>
      <c r="V3" s="26"/>
      <c r="Z3" s="117" t="s">
        <v>13</v>
      </c>
      <c r="AA3" s="117"/>
      <c r="AB3" s="117"/>
      <c r="AC3" s="118" t="s">
        <v>67</v>
      </c>
      <c r="AD3" s="119"/>
      <c r="AE3" s="119"/>
      <c r="AF3" s="27"/>
    </row>
    <row r="4" spans="1:38" s="3" customFormat="1" ht="13.5" customHeight="1" x14ac:dyDescent="0.2">
      <c r="A4" s="95" t="s">
        <v>0</v>
      </c>
      <c r="B4" s="137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7"/>
    </row>
    <row r="5" spans="1:38" ht="15.75" customHeight="1" x14ac:dyDescent="0.2">
      <c r="A5" s="138" t="s">
        <v>50</v>
      </c>
      <c r="B5" s="139"/>
      <c r="C5" s="139"/>
      <c r="D5" s="139"/>
      <c r="E5" s="134"/>
      <c r="F5" s="135" t="s">
        <v>56</v>
      </c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 t="s">
        <v>52</v>
      </c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6"/>
    </row>
    <row r="6" spans="1:38" ht="5.25" hidden="1" customHeight="1" x14ac:dyDescent="0.2">
      <c r="A6" s="140"/>
      <c r="B6" s="141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3"/>
    </row>
    <row r="7" spans="1:38" ht="16.5" customHeight="1" x14ac:dyDescent="0.2">
      <c r="A7" s="138" t="s">
        <v>51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4"/>
      <c r="S7" s="135" t="s">
        <v>53</v>
      </c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6"/>
    </row>
    <row r="8" spans="1:38" ht="12.75" customHeight="1" x14ac:dyDescent="0.2">
      <c r="A8" s="133" t="s">
        <v>55</v>
      </c>
      <c r="B8" s="134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 t="s">
        <v>54</v>
      </c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6"/>
    </row>
    <row r="9" spans="1:38" ht="12.75" customHeight="1" x14ac:dyDescent="0.2">
      <c r="A9" s="95" t="s">
        <v>1</v>
      </c>
      <c r="B9" s="137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7"/>
    </row>
    <row r="10" spans="1:38" ht="15.75" customHeight="1" x14ac:dyDescent="0.2">
      <c r="A10" s="98" t="s">
        <v>72</v>
      </c>
      <c r="B10" s="99"/>
      <c r="C10" s="99"/>
      <c r="D10" s="99"/>
      <c r="E10" s="100"/>
      <c r="F10" s="101" t="s">
        <v>75</v>
      </c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 t="s">
        <v>74</v>
      </c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2"/>
    </row>
    <row r="11" spans="1:38" ht="6" hidden="1" customHeight="1" x14ac:dyDescent="0.2">
      <c r="A11" s="103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5"/>
    </row>
    <row r="12" spans="1:38" ht="16.5" customHeight="1" x14ac:dyDescent="0.2">
      <c r="A12" s="98" t="s">
        <v>73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100"/>
      <c r="S12" s="101" t="s">
        <v>16</v>
      </c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2"/>
    </row>
    <row r="13" spans="1:38" ht="12.75" customHeight="1" x14ac:dyDescent="0.2">
      <c r="A13" s="106" t="s">
        <v>76</v>
      </c>
      <c r="B13" s="100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 t="s">
        <v>77</v>
      </c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2"/>
    </row>
    <row r="14" spans="1:38" ht="13.5" customHeight="1" x14ac:dyDescent="0.2">
      <c r="A14" s="89" t="s">
        <v>2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1"/>
    </row>
    <row r="15" spans="1:38" s="5" customFormat="1" ht="32.25" customHeight="1" x14ac:dyDescent="0.2">
      <c r="A15" s="34" t="s">
        <v>3</v>
      </c>
      <c r="B15" s="31" t="s">
        <v>66</v>
      </c>
      <c r="C15" s="83" t="s">
        <v>4</v>
      </c>
      <c r="D15" s="84"/>
      <c r="E15" s="85"/>
      <c r="F15" s="86" t="s">
        <v>12</v>
      </c>
      <c r="G15" s="87"/>
      <c r="H15" s="7" t="s">
        <v>26</v>
      </c>
      <c r="I15" s="86" t="s">
        <v>5</v>
      </c>
      <c r="J15" s="87"/>
      <c r="K15" s="86" t="s">
        <v>6</v>
      </c>
      <c r="L15" s="88"/>
      <c r="M15" s="88"/>
      <c r="N15" s="87"/>
      <c r="O15" s="86" t="s">
        <v>7</v>
      </c>
      <c r="P15" s="88"/>
      <c r="Q15" s="88"/>
      <c r="R15" s="87"/>
      <c r="S15" s="86" t="s">
        <v>15</v>
      </c>
      <c r="T15" s="88"/>
      <c r="U15" s="88"/>
      <c r="V15" s="88"/>
      <c r="W15" s="88"/>
      <c r="X15" s="87"/>
      <c r="Y15" s="81" t="s">
        <v>8</v>
      </c>
      <c r="Z15" s="81"/>
      <c r="AA15" s="81"/>
      <c r="AB15" s="81"/>
      <c r="AC15" s="81"/>
      <c r="AD15" s="81"/>
      <c r="AE15" s="81"/>
      <c r="AF15" s="82"/>
    </row>
    <row r="16" spans="1:38" s="5" customFormat="1" ht="29.25" customHeight="1" x14ac:dyDescent="0.5">
      <c r="A16" s="35">
        <v>1</v>
      </c>
      <c r="B16" s="36" t="s">
        <v>71</v>
      </c>
      <c r="C16" s="129" t="s">
        <v>69</v>
      </c>
      <c r="D16" s="130"/>
      <c r="E16" s="131"/>
      <c r="F16" s="72">
        <v>3</v>
      </c>
      <c r="G16" s="73"/>
      <c r="H16" s="9" t="s">
        <v>25</v>
      </c>
      <c r="I16" s="67">
        <v>8000000</v>
      </c>
      <c r="J16" s="68"/>
      <c r="K16" s="74">
        <v>24000000</v>
      </c>
      <c r="L16" s="75"/>
      <c r="M16" s="75"/>
      <c r="N16" s="76"/>
      <c r="O16" s="77">
        <v>0</v>
      </c>
      <c r="P16" s="78"/>
      <c r="Q16" s="78"/>
      <c r="R16" s="79"/>
      <c r="S16" s="123">
        <v>2400000</v>
      </c>
      <c r="T16" s="124"/>
      <c r="U16" s="124"/>
      <c r="V16" s="124"/>
      <c r="W16" s="124"/>
      <c r="X16" s="125"/>
      <c r="Y16" s="123">
        <v>26400000</v>
      </c>
      <c r="Z16" s="124"/>
      <c r="AA16" s="124"/>
      <c r="AB16" s="124"/>
      <c r="AC16" s="124"/>
      <c r="AD16" s="124"/>
      <c r="AE16" s="124"/>
      <c r="AF16" s="132"/>
      <c r="AI16" s="5" t="s">
        <v>27</v>
      </c>
      <c r="AJ16" s="5">
        <v>20</v>
      </c>
      <c r="AK16" s="67">
        <v>3213950</v>
      </c>
      <c r="AL16" s="68"/>
    </row>
    <row r="17" spans="1:38" s="5" customFormat="1" ht="15" customHeight="1" x14ac:dyDescent="0.5">
      <c r="A17" s="35"/>
      <c r="B17" s="32"/>
      <c r="C17" s="69"/>
      <c r="D17" s="70"/>
      <c r="E17" s="71"/>
      <c r="F17" s="72"/>
      <c r="G17" s="73"/>
      <c r="H17" s="9"/>
      <c r="I17" s="67"/>
      <c r="J17" s="68"/>
      <c r="K17" s="74">
        <f t="shared" ref="K17" si="0">I17*F17</f>
        <v>0</v>
      </c>
      <c r="L17" s="75"/>
      <c r="M17" s="75"/>
      <c r="N17" s="76"/>
      <c r="O17" s="77">
        <v>0</v>
      </c>
      <c r="P17" s="78"/>
      <c r="Q17" s="78"/>
      <c r="R17" s="79"/>
      <c r="S17" s="64">
        <v>0</v>
      </c>
      <c r="T17" s="65"/>
      <c r="U17" s="65"/>
      <c r="V17" s="65"/>
      <c r="W17" s="65"/>
      <c r="X17" s="80"/>
      <c r="Y17" s="64">
        <f t="shared" ref="Y17" si="1">K17</f>
        <v>0</v>
      </c>
      <c r="Z17" s="65"/>
      <c r="AA17" s="65"/>
      <c r="AB17" s="65"/>
      <c r="AC17" s="65"/>
      <c r="AD17" s="65"/>
      <c r="AE17" s="65"/>
      <c r="AF17" s="66"/>
      <c r="AK17" s="67"/>
      <c r="AL17" s="68"/>
    </row>
    <row r="18" spans="1:38" s="5" customFormat="1" ht="23.45" customHeight="1" x14ac:dyDescent="0.2">
      <c r="A18" s="30" t="s">
        <v>22</v>
      </c>
      <c r="B18" s="33"/>
      <c r="C18" s="42" t="s">
        <v>70</v>
      </c>
      <c r="D18" s="42"/>
      <c r="E18" s="42"/>
      <c r="F18" s="42"/>
      <c r="G18" s="42"/>
      <c r="H18" s="42"/>
      <c r="I18" s="42"/>
      <c r="J18" s="43"/>
      <c r="K18" s="44">
        <f>SUM(K16:N17)</f>
        <v>24000000</v>
      </c>
      <c r="L18" s="45"/>
      <c r="M18" s="45"/>
      <c r="N18" s="46"/>
      <c r="O18" s="47">
        <v>0</v>
      </c>
      <c r="P18" s="48"/>
      <c r="Q18" s="48"/>
      <c r="R18" s="49"/>
      <c r="S18" s="123">
        <f>S16</f>
        <v>2400000</v>
      </c>
      <c r="T18" s="124"/>
      <c r="U18" s="124"/>
      <c r="V18" s="124"/>
      <c r="W18" s="124"/>
      <c r="X18" s="125"/>
      <c r="Y18" s="126">
        <f>Y16</f>
        <v>26400000</v>
      </c>
      <c r="Z18" s="127"/>
      <c r="AA18" s="127"/>
      <c r="AB18" s="127"/>
      <c r="AC18" s="127"/>
      <c r="AD18" s="127"/>
      <c r="AE18" s="127"/>
      <c r="AF18" s="128"/>
    </row>
    <row r="19" spans="1:38" s="5" customFormat="1" ht="27.6" customHeight="1" x14ac:dyDescent="0.2">
      <c r="A19" s="56" t="s">
        <v>10</v>
      </c>
      <c r="B19" s="57"/>
      <c r="C19" s="57"/>
      <c r="D19" s="57"/>
      <c r="E19" s="57"/>
      <c r="F19" s="58" t="s">
        <v>78</v>
      </c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60"/>
    </row>
    <row r="20" spans="1:38" s="5" customFormat="1" ht="66.599999999999994" customHeight="1" x14ac:dyDescent="0.2">
      <c r="A20" s="56" t="s">
        <v>17</v>
      </c>
      <c r="B20" s="57"/>
      <c r="C20" s="57"/>
      <c r="D20" s="57"/>
      <c r="E20" s="57"/>
      <c r="F20" s="61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3"/>
      <c r="AG20" s="8"/>
    </row>
    <row r="21" spans="1:38" s="5" customFormat="1" ht="36" customHeight="1" thickBot="1" x14ac:dyDescent="0.25">
      <c r="A21" s="37" t="s">
        <v>11</v>
      </c>
      <c r="B21" s="38"/>
      <c r="C21" s="38"/>
      <c r="D21" s="38"/>
      <c r="E21" s="38"/>
      <c r="F21" s="39" t="s">
        <v>9</v>
      </c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1"/>
    </row>
    <row r="22" spans="1:38" s="5" customFormat="1" ht="15" customHeight="1" thickTop="1" x14ac:dyDescent="0.2">
      <c r="A22" s="2"/>
      <c r="B22" s="2"/>
      <c r="C22" s="2"/>
      <c r="D22" s="2"/>
      <c r="E22" s="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8" s="5" customFormat="1" ht="15" customHeight="1" x14ac:dyDescent="0.2">
      <c r="A23" s="2"/>
      <c r="B23" s="2"/>
      <c r="C23" s="2"/>
      <c r="D23" s="2"/>
      <c r="E23" s="2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8" s="5" customFormat="1" ht="15" customHeight="1" x14ac:dyDescent="0.2">
      <c r="A24" s="2"/>
      <c r="B24" s="2"/>
      <c r="C24" s="2"/>
      <c r="D24" s="2"/>
      <c r="E24" s="2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8" ht="22.5" customHeight="1" x14ac:dyDescent="0.2"/>
    <row r="26" spans="1:38" ht="32.25" customHeight="1" x14ac:dyDescent="0.2"/>
    <row r="27" spans="1:38" ht="35.25" customHeight="1" x14ac:dyDescent="0.2"/>
    <row r="28" spans="1:38" s="2" customFormat="1" ht="30" customHeight="1" x14ac:dyDescent="0.2"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Y28" s="4"/>
      <c r="AG28" s="1"/>
      <c r="AH28" s="1"/>
      <c r="AI28" s="1"/>
      <c r="AJ28" s="1"/>
      <c r="AK28" s="1"/>
      <c r="AL28" s="1"/>
    </row>
  </sheetData>
  <mergeCells count="59">
    <mergeCell ref="A7:R7"/>
    <mergeCell ref="S7:AF7"/>
    <mergeCell ref="S1:U1"/>
    <mergeCell ref="Z1:AB1"/>
    <mergeCell ref="AC1:AE1"/>
    <mergeCell ref="S3:U3"/>
    <mergeCell ref="Z3:AB3"/>
    <mergeCell ref="AC3:AE3"/>
    <mergeCell ref="A4:AF4"/>
    <mergeCell ref="A5:E5"/>
    <mergeCell ref="F5:R5"/>
    <mergeCell ref="S5:AF5"/>
    <mergeCell ref="A6:AF6"/>
    <mergeCell ref="A1:R3"/>
    <mergeCell ref="A14:AF14"/>
    <mergeCell ref="A8:R8"/>
    <mergeCell ref="S8:AF8"/>
    <mergeCell ref="A9:AF9"/>
    <mergeCell ref="A10:E10"/>
    <mergeCell ref="F10:R10"/>
    <mergeCell ref="S10:AF10"/>
    <mergeCell ref="A11:AF11"/>
    <mergeCell ref="A12:R12"/>
    <mergeCell ref="S12:AF12"/>
    <mergeCell ref="A13:R13"/>
    <mergeCell ref="S13:AF13"/>
    <mergeCell ref="AK16:AL16"/>
    <mergeCell ref="Y15:AF15"/>
    <mergeCell ref="C16:E16"/>
    <mergeCell ref="F16:G16"/>
    <mergeCell ref="I16:J16"/>
    <mergeCell ref="K16:N16"/>
    <mergeCell ref="O16:R16"/>
    <mergeCell ref="S16:X16"/>
    <mergeCell ref="Y16:AF16"/>
    <mergeCell ref="C15:E15"/>
    <mergeCell ref="F15:G15"/>
    <mergeCell ref="I15:J15"/>
    <mergeCell ref="K15:N15"/>
    <mergeCell ref="O15:R15"/>
    <mergeCell ref="S15:X15"/>
    <mergeCell ref="A21:E21"/>
    <mergeCell ref="F21:AF21"/>
    <mergeCell ref="C18:J18"/>
    <mergeCell ref="K18:N18"/>
    <mergeCell ref="O18:R18"/>
    <mergeCell ref="S18:X18"/>
    <mergeCell ref="Y18:AF18"/>
    <mergeCell ref="A19:E19"/>
    <mergeCell ref="F19:AF20"/>
    <mergeCell ref="A20:E20"/>
    <mergeCell ref="S17:X17"/>
    <mergeCell ref="Y17:AF17"/>
    <mergeCell ref="AK17:AL17"/>
    <mergeCell ref="C17:E17"/>
    <mergeCell ref="F17:G17"/>
    <mergeCell ref="I17:J17"/>
    <mergeCell ref="K17:N17"/>
    <mergeCell ref="O17:R17"/>
  </mergeCells>
  <printOptions horizontalCentered="1" verticalCentered="1"/>
  <pageMargins left="0.23622047244094491" right="0.23622047244094491" top="0.15748031496062992" bottom="0.74803149606299213" header="0.31496062992125984" footer="0.31496062992125984"/>
  <pageSetup paperSize="9" scale="8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B326-0403-476F-8D9A-1C132092CE31}">
  <sheetPr>
    <tabColor rgb="FF92D050"/>
  </sheetPr>
  <dimension ref="A1:AK27"/>
  <sheetViews>
    <sheetView rightToLeft="1" view="pageBreakPreview" zoomScale="130" zoomScaleNormal="115" zoomScaleSheetLayoutView="130" workbookViewId="0">
      <selection activeCell="R12" sqref="R12:AE12"/>
    </sheetView>
  </sheetViews>
  <sheetFormatPr defaultColWidth="9.140625" defaultRowHeight="15.75" x14ac:dyDescent="0.2"/>
  <cols>
    <col min="1" max="1" width="4.28515625" style="2" customWidth="1"/>
    <col min="2" max="2" width="12.42578125" style="2" customWidth="1"/>
    <col min="3" max="3" width="9" style="2" customWidth="1"/>
    <col min="4" max="4" width="27.5703125" style="2" customWidth="1"/>
    <col min="5" max="5" width="3.28515625" style="6" customWidth="1"/>
    <col min="6" max="6" width="6" style="6" customWidth="1"/>
    <col min="7" max="7" width="9.85546875" style="6" customWidth="1"/>
    <col min="8" max="8" width="4.85546875" style="6" customWidth="1"/>
    <col min="9" max="9" width="16.28515625" style="6" customWidth="1"/>
    <col min="10" max="10" width="4.28515625" style="6" customWidth="1"/>
    <col min="11" max="12" width="3" style="6" customWidth="1"/>
    <col min="13" max="13" width="8.7109375" style="6" customWidth="1"/>
    <col min="14" max="16" width="3.7109375" style="6" customWidth="1"/>
    <col min="17" max="17" width="8.28515625" style="6" customWidth="1"/>
    <col min="18" max="19" width="3" style="2" customWidth="1"/>
    <col min="20" max="20" width="4.7109375" style="2" customWidth="1"/>
    <col min="21" max="30" width="3.7109375" style="2" customWidth="1"/>
    <col min="31" max="31" width="0.42578125" style="2" customWidth="1"/>
    <col min="32" max="32" width="13.140625" style="1" customWidth="1"/>
    <col min="33" max="34" width="9.140625" style="1" customWidth="1"/>
    <col min="35" max="16384" width="9.140625" style="1"/>
  </cols>
  <sheetData>
    <row r="1" spans="1:37" ht="30.6" customHeight="1" thickTop="1" x14ac:dyDescent="0.2">
      <c r="A1" s="19"/>
      <c r="B1" s="20"/>
      <c r="C1" s="20"/>
      <c r="D1" s="20"/>
      <c r="E1" s="110" t="s">
        <v>23</v>
      </c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3"/>
      <c r="S1" s="113"/>
      <c r="T1" s="113"/>
      <c r="U1" s="20"/>
      <c r="V1" s="20"/>
      <c r="W1" s="20"/>
      <c r="X1" s="20"/>
      <c r="Y1" s="114" t="s">
        <v>14</v>
      </c>
      <c r="Z1" s="114"/>
      <c r="AA1" s="114"/>
      <c r="AB1" s="115">
        <v>4102</v>
      </c>
      <c r="AC1" s="115"/>
      <c r="AD1" s="115"/>
      <c r="AE1" s="21"/>
    </row>
    <row r="2" spans="1:37" ht="5.45" customHeight="1" x14ac:dyDescent="0.2">
      <c r="A2" s="2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23"/>
      <c r="S2" s="23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5"/>
    </row>
    <row r="3" spans="1:37" ht="34.15" customHeight="1" x14ac:dyDescent="0.2">
      <c r="A3" s="2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6"/>
      <c r="S3" s="116"/>
      <c r="T3" s="116"/>
      <c r="U3" s="26"/>
      <c r="Y3" s="117" t="s">
        <v>13</v>
      </c>
      <c r="Z3" s="117"/>
      <c r="AA3" s="117"/>
      <c r="AB3" s="118" t="s">
        <v>65</v>
      </c>
      <c r="AC3" s="119"/>
      <c r="AD3" s="119"/>
      <c r="AE3" s="27"/>
    </row>
    <row r="4" spans="1:37" s="3" customFormat="1" ht="13.5" customHeight="1" x14ac:dyDescent="0.2">
      <c r="A4" s="95" t="s">
        <v>0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7"/>
    </row>
    <row r="5" spans="1:37" ht="15.75" customHeight="1" x14ac:dyDescent="0.2">
      <c r="A5" s="138" t="s">
        <v>50</v>
      </c>
      <c r="B5" s="139"/>
      <c r="C5" s="139"/>
      <c r="D5" s="134"/>
      <c r="E5" s="135" t="s">
        <v>56</v>
      </c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 t="s">
        <v>52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6"/>
    </row>
    <row r="6" spans="1:37" ht="9.9499999999999993" hidden="1" customHeight="1" x14ac:dyDescent="0.2">
      <c r="A6" s="140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3"/>
    </row>
    <row r="7" spans="1:37" ht="16.5" customHeight="1" x14ac:dyDescent="0.2">
      <c r="A7" s="138" t="s">
        <v>51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4"/>
      <c r="R7" s="135" t="s">
        <v>53</v>
      </c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6"/>
    </row>
    <row r="8" spans="1:37" ht="12.75" customHeight="1" x14ac:dyDescent="0.2">
      <c r="A8" s="133" t="s">
        <v>55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 t="s">
        <v>54</v>
      </c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6"/>
    </row>
    <row r="9" spans="1:37" ht="12.75" customHeight="1" x14ac:dyDescent="0.2">
      <c r="A9" s="95" t="s">
        <v>1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7"/>
    </row>
    <row r="10" spans="1:37" ht="15.75" customHeight="1" x14ac:dyDescent="0.2">
      <c r="A10" s="98" t="s">
        <v>57</v>
      </c>
      <c r="B10" s="99"/>
      <c r="C10" s="99"/>
      <c r="D10" s="100"/>
      <c r="E10" s="101" t="s">
        <v>59</v>
      </c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 t="s">
        <v>58</v>
      </c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2"/>
    </row>
    <row r="11" spans="1:37" ht="6" hidden="1" customHeight="1" x14ac:dyDescent="0.2">
      <c r="A11" s="103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5"/>
    </row>
    <row r="12" spans="1:37" ht="16.5" customHeight="1" x14ac:dyDescent="0.2">
      <c r="A12" s="98" t="s">
        <v>63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100"/>
      <c r="R12" s="101" t="s">
        <v>16</v>
      </c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2"/>
    </row>
    <row r="13" spans="1:37" ht="12.75" customHeight="1" x14ac:dyDescent="0.2">
      <c r="A13" s="106" t="s">
        <v>64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 t="s">
        <v>60</v>
      </c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2"/>
    </row>
    <row r="14" spans="1:37" ht="13.5" customHeight="1" x14ac:dyDescent="0.2">
      <c r="A14" s="89" t="s">
        <v>2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1"/>
    </row>
    <row r="15" spans="1:37" s="5" customFormat="1" ht="32.25" customHeight="1" x14ac:dyDescent="0.2">
      <c r="A15" s="28" t="s">
        <v>3</v>
      </c>
      <c r="B15" s="83" t="s">
        <v>4</v>
      </c>
      <c r="C15" s="84"/>
      <c r="D15" s="85"/>
      <c r="E15" s="86" t="s">
        <v>12</v>
      </c>
      <c r="F15" s="87"/>
      <c r="G15" s="7" t="s">
        <v>26</v>
      </c>
      <c r="H15" s="86" t="s">
        <v>5</v>
      </c>
      <c r="I15" s="87"/>
      <c r="J15" s="86" t="s">
        <v>6</v>
      </c>
      <c r="K15" s="88"/>
      <c r="L15" s="88"/>
      <c r="M15" s="87"/>
      <c r="N15" s="86" t="s">
        <v>7</v>
      </c>
      <c r="O15" s="88"/>
      <c r="P15" s="88"/>
      <c r="Q15" s="87"/>
      <c r="R15" s="86" t="s">
        <v>15</v>
      </c>
      <c r="S15" s="88"/>
      <c r="T15" s="88"/>
      <c r="U15" s="88"/>
      <c r="V15" s="88"/>
      <c r="W15" s="87"/>
      <c r="X15" s="81" t="s">
        <v>8</v>
      </c>
      <c r="Y15" s="81"/>
      <c r="Z15" s="81"/>
      <c r="AA15" s="81"/>
      <c r="AB15" s="81"/>
      <c r="AC15" s="81"/>
      <c r="AD15" s="81"/>
      <c r="AE15" s="82"/>
    </row>
    <row r="16" spans="1:37" s="5" customFormat="1" ht="15" customHeight="1" x14ac:dyDescent="0.5">
      <c r="A16" s="29">
        <v>1</v>
      </c>
      <c r="B16" s="69" t="s">
        <v>61</v>
      </c>
      <c r="C16" s="70"/>
      <c r="D16" s="71"/>
      <c r="E16" s="72">
        <v>50</v>
      </c>
      <c r="F16" s="73"/>
      <c r="G16" s="9" t="s">
        <v>62</v>
      </c>
      <c r="H16" s="67">
        <v>3490000</v>
      </c>
      <c r="I16" s="68"/>
      <c r="J16" s="74">
        <f>H16*E16</f>
        <v>174500000</v>
      </c>
      <c r="K16" s="75"/>
      <c r="L16" s="75"/>
      <c r="M16" s="76"/>
      <c r="N16" s="77">
        <v>0</v>
      </c>
      <c r="O16" s="78"/>
      <c r="P16" s="78"/>
      <c r="Q16" s="79"/>
      <c r="R16" s="64">
        <v>0</v>
      </c>
      <c r="S16" s="65"/>
      <c r="T16" s="65"/>
      <c r="U16" s="65"/>
      <c r="V16" s="65"/>
      <c r="W16" s="80"/>
      <c r="X16" s="149">
        <f>J16</f>
        <v>174500000</v>
      </c>
      <c r="Y16" s="150"/>
      <c r="Z16" s="150"/>
      <c r="AA16" s="150"/>
      <c r="AB16" s="150"/>
      <c r="AC16" s="150"/>
      <c r="AD16" s="150"/>
      <c r="AE16" s="151"/>
      <c r="AH16" s="5" t="s">
        <v>27</v>
      </c>
      <c r="AI16" s="5">
        <v>20</v>
      </c>
      <c r="AJ16" s="67">
        <v>3213950</v>
      </c>
      <c r="AK16" s="68"/>
    </row>
    <row r="17" spans="1:37" s="5" customFormat="1" ht="23.45" customHeight="1" x14ac:dyDescent="0.2">
      <c r="A17" s="30" t="s">
        <v>22</v>
      </c>
      <c r="B17" s="42"/>
      <c r="C17" s="42"/>
      <c r="D17" s="42"/>
      <c r="E17" s="42"/>
      <c r="F17" s="42"/>
      <c r="G17" s="42"/>
      <c r="H17" s="42"/>
      <c r="I17" s="43"/>
      <c r="J17" s="44">
        <f>SUM(J16:M16)</f>
        <v>174500000</v>
      </c>
      <c r="K17" s="45"/>
      <c r="L17" s="45"/>
      <c r="M17" s="46"/>
      <c r="N17" s="47">
        <v>0</v>
      </c>
      <c r="O17" s="48"/>
      <c r="P17" s="48"/>
      <c r="Q17" s="49"/>
      <c r="R17" s="50">
        <v>0</v>
      </c>
      <c r="S17" s="51"/>
      <c r="T17" s="51"/>
      <c r="U17" s="51"/>
      <c r="V17" s="51"/>
      <c r="W17" s="52"/>
      <c r="X17" s="44">
        <f>X16</f>
        <v>174500000</v>
      </c>
      <c r="Y17" s="45"/>
      <c r="Z17" s="45"/>
      <c r="AA17" s="45"/>
      <c r="AB17" s="45"/>
      <c r="AC17" s="45"/>
      <c r="AD17" s="45"/>
      <c r="AE17" s="46"/>
    </row>
    <row r="18" spans="1:37" s="5" customFormat="1" ht="27.6" customHeight="1" x14ac:dyDescent="0.2">
      <c r="A18" s="56" t="s">
        <v>10</v>
      </c>
      <c r="B18" s="57"/>
      <c r="C18" s="57"/>
      <c r="D18" s="57"/>
      <c r="E18" s="58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60"/>
    </row>
    <row r="19" spans="1:37" s="5" customFormat="1" ht="66.599999999999994" customHeight="1" x14ac:dyDescent="0.2">
      <c r="A19" s="56" t="s">
        <v>17</v>
      </c>
      <c r="B19" s="57"/>
      <c r="C19" s="57"/>
      <c r="D19" s="57"/>
      <c r="E19" s="61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3"/>
      <c r="AF19" s="8"/>
    </row>
    <row r="20" spans="1:37" s="5" customFormat="1" ht="36" customHeight="1" thickBot="1" x14ac:dyDescent="0.25">
      <c r="A20" s="37" t="s">
        <v>11</v>
      </c>
      <c r="B20" s="38"/>
      <c r="C20" s="38"/>
      <c r="D20" s="38"/>
      <c r="E20" s="39" t="s">
        <v>9</v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1"/>
    </row>
    <row r="21" spans="1:37" s="5" customFormat="1" ht="15" customHeight="1" thickTop="1" x14ac:dyDescent="0.2">
      <c r="A21" s="2"/>
      <c r="B21" s="2"/>
      <c r="C21" s="2"/>
      <c r="D21" s="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7" s="5" customFormat="1" ht="15" customHeight="1" x14ac:dyDescent="0.2">
      <c r="A22" s="2"/>
      <c r="B22" s="2"/>
      <c r="C22" s="2"/>
      <c r="D22" s="2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7" s="5" customFormat="1" ht="15" customHeight="1" x14ac:dyDescent="0.2">
      <c r="A23" s="2"/>
      <c r="B23" s="2"/>
      <c r="C23" s="2"/>
      <c r="D23" s="2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7" ht="22.5" customHeight="1" x14ac:dyDescent="0.2"/>
    <row r="25" spans="1:37" ht="32.25" customHeight="1" x14ac:dyDescent="0.2"/>
    <row r="26" spans="1:37" ht="35.25" customHeight="1" x14ac:dyDescent="0.2"/>
    <row r="27" spans="1:37" s="2" customFormat="1" ht="30" customHeight="1" x14ac:dyDescent="0.2"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X27" s="4"/>
      <c r="AF27" s="1"/>
      <c r="AG27" s="1"/>
      <c r="AH27" s="1"/>
      <c r="AI27" s="1"/>
      <c r="AJ27" s="1"/>
      <c r="AK27" s="1"/>
    </row>
  </sheetData>
  <mergeCells count="51">
    <mergeCell ref="A7:Q7"/>
    <mergeCell ref="R7:AE7"/>
    <mergeCell ref="E1:Q3"/>
    <mergeCell ref="R1:T1"/>
    <mergeCell ref="Y1:AA1"/>
    <mergeCell ref="AB1:AD1"/>
    <mergeCell ref="R3:T3"/>
    <mergeCell ref="Y3:AA3"/>
    <mergeCell ref="AB3:AD3"/>
    <mergeCell ref="A4:AE4"/>
    <mergeCell ref="A5:D5"/>
    <mergeCell ref="E5:Q5"/>
    <mergeCell ref="R5:AE5"/>
    <mergeCell ref="A6:AE6"/>
    <mergeCell ref="A14:AE14"/>
    <mergeCell ref="A8:Q8"/>
    <mergeCell ref="R8:AE8"/>
    <mergeCell ref="A9:AE9"/>
    <mergeCell ref="A10:D10"/>
    <mergeCell ref="E10:Q10"/>
    <mergeCell ref="R10:AE10"/>
    <mergeCell ref="A11:AE11"/>
    <mergeCell ref="A12:Q12"/>
    <mergeCell ref="R12:AE12"/>
    <mergeCell ref="A13:Q13"/>
    <mergeCell ref="R13:AE13"/>
    <mergeCell ref="X15:AE15"/>
    <mergeCell ref="B16:D16"/>
    <mergeCell ref="E16:F16"/>
    <mergeCell ref="H16:I16"/>
    <mergeCell ref="J16:M16"/>
    <mergeCell ref="N16:Q16"/>
    <mergeCell ref="R16:W16"/>
    <mergeCell ref="X16:AE16"/>
    <mergeCell ref="B15:D15"/>
    <mergeCell ref="E15:F15"/>
    <mergeCell ref="H15:I15"/>
    <mergeCell ref="J15:M15"/>
    <mergeCell ref="N15:Q15"/>
    <mergeCell ref="R15:W15"/>
    <mergeCell ref="AJ16:AK16"/>
    <mergeCell ref="B17:I17"/>
    <mergeCell ref="J17:M17"/>
    <mergeCell ref="N17:Q17"/>
    <mergeCell ref="R17:W17"/>
    <mergeCell ref="X17:AE17"/>
    <mergeCell ref="A18:D18"/>
    <mergeCell ref="E18:AE19"/>
    <mergeCell ref="A19:D19"/>
    <mergeCell ref="A20:D20"/>
    <mergeCell ref="E20:AE20"/>
  </mergeCells>
  <printOptions horizontalCentered="1" verticalCentered="1"/>
  <pageMargins left="0.23622047244094491" right="0.23622047244094491" top="0.15748031496062992" bottom="0.74803149606299213" header="0.31496062992125984" footer="0.31496062992125984"/>
  <pageSetup paperSize="9" scale="7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9BB7-BF4D-4B4F-8E7F-E409F8F300C1}">
  <dimension ref="D106:W127"/>
  <sheetViews>
    <sheetView rightToLeft="1" topLeftCell="A91" zoomScaleNormal="100" workbookViewId="0">
      <selection activeCell="G118" sqref="G118"/>
    </sheetView>
  </sheetViews>
  <sheetFormatPr defaultRowHeight="12.75" x14ac:dyDescent="0.2"/>
  <cols>
    <col min="7" max="7" width="61" customWidth="1"/>
    <col min="8" max="8" width="39.28515625" customWidth="1"/>
    <col min="13" max="13" width="17" customWidth="1"/>
    <col min="16" max="16" width="20" customWidth="1"/>
    <col min="18" max="18" width="12.7109375" bestFit="1" customWidth="1"/>
    <col min="19" max="19" width="12.85546875" customWidth="1"/>
    <col min="20" max="20" width="11.7109375" bestFit="1" customWidth="1"/>
    <col min="22" max="22" width="12.7109375" bestFit="1" customWidth="1"/>
  </cols>
  <sheetData>
    <row r="106" spans="4:23" x14ac:dyDescent="0.2">
      <c r="M106" t="s">
        <v>34</v>
      </c>
    </row>
    <row r="107" spans="4:23" x14ac:dyDescent="0.2">
      <c r="K107" s="152">
        <v>1</v>
      </c>
      <c r="L107" s="152"/>
      <c r="M107" s="152"/>
      <c r="Q107" s="17" t="s">
        <v>35</v>
      </c>
      <c r="V107" t="s">
        <v>33</v>
      </c>
    </row>
    <row r="108" spans="4:23" ht="18.75" x14ac:dyDescent="0.2">
      <c r="J108" t="s">
        <v>29</v>
      </c>
      <c r="K108" s="11">
        <v>6000</v>
      </c>
      <c r="L108" s="10">
        <v>399780</v>
      </c>
      <c r="M108" s="10">
        <f>L108*K108</f>
        <v>2398680000</v>
      </c>
      <c r="O108" t="s">
        <v>29</v>
      </c>
      <c r="P108" s="11">
        <v>6000</v>
      </c>
      <c r="Q108" s="10">
        <v>408470</v>
      </c>
      <c r="R108" s="10">
        <f>Q108*P108</f>
        <v>2450820000</v>
      </c>
      <c r="T108" s="152">
        <v>2</v>
      </c>
      <c r="U108" s="152"/>
      <c r="V108" s="152"/>
      <c r="W108" s="152"/>
    </row>
    <row r="109" spans="4:23" ht="18.75" x14ac:dyDescent="0.2">
      <c r="J109" t="s">
        <v>30</v>
      </c>
      <c r="K109" s="11">
        <v>200</v>
      </c>
      <c r="L109" s="10">
        <v>1865153</v>
      </c>
      <c r="M109" s="10">
        <f t="shared" ref="M109:M113" si="0">L109*K109</f>
        <v>373030600</v>
      </c>
      <c r="O109" t="s">
        <v>30</v>
      </c>
      <c r="P109" s="11">
        <v>200</v>
      </c>
      <c r="Q109" s="10">
        <v>1905689</v>
      </c>
      <c r="R109" s="10">
        <f t="shared" ref="R109:R113" si="1">Q109*P109</f>
        <v>381137800</v>
      </c>
      <c r="T109" s="12">
        <v>6000</v>
      </c>
      <c r="U109" s="10">
        <v>442500</v>
      </c>
      <c r="V109" s="10">
        <f>U109*T109</f>
        <v>2655000000</v>
      </c>
    </row>
    <row r="110" spans="4:23" ht="18.75" x14ac:dyDescent="0.2">
      <c r="J110" t="s">
        <v>24</v>
      </c>
      <c r="K110" s="11">
        <v>1000</v>
      </c>
      <c r="L110" s="10">
        <v>1019825</v>
      </c>
      <c r="M110" s="10">
        <f t="shared" si="0"/>
        <v>1019825000</v>
      </c>
      <c r="O110" t="s">
        <v>24</v>
      </c>
      <c r="P110" s="11">
        <v>1000</v>
      </c>
      <c r="Q110" s="10">
        <v>1019825</v>
      </c>
      <c r="R110" s="10">
        <f t="shared" si="1"/>
        <v>1019825000</v>
      </c>
      <c r="T110" s="12">
        <v>200</v>
      </c>
      <c r="U110" s="10">
        <v>1980000</v>
      </c>
      <c r="V110" s="10">
        <f t="shared" ref="V110:V114" si="2">U110*T110</f>
        <v>396000000</v>
      </c>
    </row>
    <row r="111" spans="4:23" ht="18.75" x14ac:dyDescent="0.2">
      <c r="D111" t="s">
        <v>37</v>
      </c>
      <c r="E111">
        <v>3840</v>
      </c>
      <c r="J111" t="s">
        <v>28</v>
      </c>
      <c r="K111" s="11">
        <v>1200</v>
      </c>
      <c r="L111" s="10">
        <v>496000</v>
      </c>
      <c r="M111" s="10">
        <f t="shared" si="0"/>
        <v>595200000</v>
      </c>
      <c r="O111" t="s">
        <v>28</v>
      </c>
      <c r="P111" s="11">
        <v>1200</v>
      </c>
      <c r="Q111" s="10">
        <v>496000</v>
      </c>
      <c r="R111" s="10">
        <f t="shared" si="1"/>
        <v>595200000</v>
      </c>
      <c r="T111" s="12">
        <v>1000</v>
      </c>
      <c r="U111" s="10">
        <v>973000</v>
      </c>
      <c r="V111" s="10">
        <f t="shared" si="2"/>
        <v>973000000</v>
      </c>
    </row>
    <row r="112" spans="4:23" ht="18.75" x14ac:dyDescent="0.2">
      <c r="D112" t="s">
        <v>38</v>
      </c>
      <c r="E112">
        <v>2000</v>
      </c>
      <c r="J112" t="s">
        <v>31</v>
      </c>
      <c r="K112" s="11">
        <v>2000</v>
      </c>
      <c r="L112" s="10">
        <v>887600</v>
      </c>
      <c r="M112" s="10">
        <f t="shared" si="0"/>
        <v>1775200000</v>
      </c>
      <c r="O112" t="s">
        <v>31</v>
      </c>
      <c r="P112" s="11">
        <v>2000</v>
      </c>
      <c r="Q112" s="10">
        <v>887600</v>
      </c>
      <c r="R112" s="10">
        <f t="shared" si="1"/>
        <v>1775200000</v>
      </c>
      <c r="T112" s="12">
        <v>1200</v>
      </c>
      <c r="U112" s="10">
        <v>480000</v>
      </c>
      <c r="V112" s="10">
        <f t="shared" si="2"/>
        <v>576000000</v>
      </c>
    </row>
    <row r="113" spans="4:22" ht="18.75" x14ac:dyDescent="0.2">
      <c r="D113" t="s">
        <v>39</v>
      </c>
      <c r="E113">
        <v>400</v>
      </c>
      <c r="J113" t="s">
        <v>32</v>
      </c>
      <c r="K113" s="11">
        <v>150</v>
      </c>
      <c r="L113" s="10">
        <v>6141800</v>
      </c>
      <c r="M113" s="10">
        <f t="shared" si="0"/>
        <v>921270000</v>
      </c>
      <c r="O113" t="s">
        <v>32</v>
      </c>
      <c r="P113" s="11">
        <v>150</v>
      </c>
      <c r="Q113" s="10">
        <v>6141800</v>
      </c>
      <c r="R113" s="10">
        <f t="shared" si="1"/>
        <v>921270000</v>
      </c>
      <c r="T113" s="12">
        <v>2000</v>
      </c>
      <c r="U113" s="10">
        <v>991000</v>
      </c>
      <c r="V113" s="10">
        <f t="shared" si="2"/>
        <v>1982000000</v>
      </c>
    </row>
    <row r="114" spans="4:22" ht="18.75" x14ac:dyDescent="0.2">
      <c r="R114" s="16">
        <f>SUM(R108:R113)</f>
        <v>7143452800</v>
      </c>
      <c r="T114" s="12">
        <v>150</v>
      </c>
      <c r="U114" s="10">
        <v>6141800</v>
      </c>
      <c r="V114" s="10">
        <f t="shared" si="2"/>
        <v>921270000</v>
      </c>
    </row>
    <row r="115" spans="4:22" ht="15.75" x14ac:dyDescent="0.2">
      <c r="M115" s="13">
        <f>SUM(M108:M113)</f>
        <v>7083205600</v>
      </c>
      <c r="N115" s="14"/>
      <c r="O115" s="14"/>
      <c r="P115" s="15"/>
      <c r="V115" s="16">
        <f>SUM(V109:V114)</f>
        <v>7503270000</v>
      </c>
    </row>
    <row r="117" spans="4:22" x14ac:dyDescent="0.2">
      <c r="P117" s="16">
        <f>R114-M115</f>
        <v>60247200</v>
      </c>
    </row>
    <row r="118" spans="4:22" ht="46.5" customHeight="1" x14ac:dyDescent="0.2">
      <c r="G118" s="17" t="s">
        <v>68</v>
      </c>
    </row>
    <row r="119" spans="4:22" x14ac:dyDescent="0.2">
      <c r="T119" s="16">
        <f>R114-V115</f>
        <v>-359817200</v>
      </c>
    </row>
    <row r="123" spans="4:22" x14ac:dyDescent="0.2">
      <c r="P123" s="16"/>
    </row>
    <row r="124" spans="4:22" x14ac:dyDescent="0.2">
      <c r="O124" s="17" t="s">
        <v>34</v>
      </c>
      <c r="P124" s="16">
        <f>R108+R109</f>
        <v>2831957800</v>
      </c>
    </row>
    <row r="125" spans="4:22" x14ac:dyDescent="0.2">
      <c r="O125" s="17" t="s">
        <v>36</v>
      </c>
      <c r="P125" s="16">
        <f>V109+V110</f>
        <v>3051000000</v>
      </c>
    </row>
    <row r="126" spans="4:22" x14ac:dyDescent="0.2">
      <c r="P126" s="16">
        <f>P124-P125</f>
        <v>-219042200</v>
      </c>
      <c r="S126">
        <f>U110/3.5</f>
        <v>565714.28571428568</v>
      </c>
    </row>
    <row r="127" spans="4:22" x14ac:dyDescent="0.2">
      <c r="S127" s="16">
        <f>S126*100</f>
        <v>56571428.571428567</v>
      </c>
    </row>
  </sheetData>
  <mergeCells count="2">
    <mergeCell ref="K107:M107"/>
    <mergeCell ref="T108:W1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دانشگاه علوم پزشکی بهبهان</vt:lpstr>
      <vt:lpstr>خام</vt:lpstr>
      <vt:lpstr>خام (2)</vt:lpstr>
      <vt:lpstr>Sheet3</vt:lpstr>
      <vt:lpstr>خام!Print_Area</vt:lpstr>
      <vt:lpstr>'خام (2)'!Print_Area</vt:lpstr>
      <vt:lpstr>'دانشگاه علوم پزشکی بهبهان'!Print_Area</vt:lpstr>
    </vt:vector>
  </TitlesOfParts>
  <Company>********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sayal4</dc:creator>
  <cp:lastModifiedBy>pc 1</cp:lastModifiedBy>
  <cp:lastPrinted>2025-12-30T10:40:37Z</cp:lastPrinted>
  <dcterms:created xsi:type="dcterms:W3CDTF">2009-04-12T08:21:16Z</dcterms:created>
  <dcterms:modified xsi:type="dcterms:W3CDTF">2025-12-30T11:44:29Z</dcterms:modified>
</cp:coreProperties>
</file>